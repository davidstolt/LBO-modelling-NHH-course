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psalauniversitet-my.sharepoint.com/personal/david_stolt_2152_student_uu_se/Documents/1. Studier/1. NHH/3. VC, PE, and IPO’s/"/>
    </mc:Choice>
  </mc:AlternateContent>
  <xr:revisionPtr revIDLastSave="27" documentId="13_ncr:1_{3F7CCF2A-45DA-564C-B316-1866A7E4C2E1}" xr6:coauthVersionLast="47" xr6:coauthVersionMax="47" xr10:uidLastSave="{1FA38750-E367-AE46-BE33-7C9E2125D079}"/>
  <bookViews>
    <workbookView xWindow="0" yWindow="500" windowWidth="28800" windowHeight="15940" xr2:uid="{A469845D-959C-4A7C-80E1-18863DB1EFCC}"/>
  </bookViews>
  <sheets>
    <sheet name="Main LBO" sheetId="22" r:id="rId1"/>
    <sheet name="Financials Data" sheetId="21" r:id="rId2"/>
    <sheet name=" APV" sheetId="26" r:id="rId3"/>
    <sheet name=" WACC &amp; Unlevered CoC" sheetId="8" r:id="rId4"/>
    <sheet name="Baseline Beta" sheetId="9" r:id="rId5"/>
    <sheet name="Expected Return" sheetId="10" r:id="rId6"/>
  </sheets>
  <definedNames>
    <definedName name="_xlnm._FilterDatabase" localSheetId="3" hidden="1">' WACC &amp; Unlevered CoC'!$J$3:$R$3</definedName>
    <definedName name="CASE">#REF!</definedName>
    <definedName name="CIRC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22" l="1"/>
  <c r="S26" i="22"/>
  <c r="T26" i="22"/>
  <c r="U26" i="22"/>
  <c r="Q26" i="22"/>
  <c r="R25" i="22"/>
  <c r="S25" i="22"/>
  <c r="T25" i="22"/>
  <c r="U25" i="22"/>
  <c r="Q25" i="22"/>
  <c r="R21" i="22"/>
  <c r="S21" i="22"/>
  <c r="T21" i="22"/>
  <c r="U21" i="22"/>
  <c r="Q21" i="22"/>
  <c r="R20" i="22"/>
  <c r="S20" i="22"/>
  <c r="T20" i="22"/>
  <c r="U20" i="22"/>
  <c r="Q20" i="22"/>
  <c r="R16" i="22"/>
  <c r="S16" i="22"/>
  <c r="T16" i="22"/>
  <c r="U16" i="22"/>
  <c r="Q16" i="22"/>
  <c r="R15" i="22"/>
  <c r="S15" i="22"/>
  <c r="T15" i="22"/>
  <c r="U15" i="22"/>
  <c r="Q15" i="22"/>
  <c r="AH33" i="21" l="1"/>
  <c r="AH38" i="21"/>
  <c r="AH27" i="21"/>
  <c r="AI11" i="21"/>
  <c r="AJ11" i="21"/>
  <c r="H26" i="22"/>
  <c r="J12" i="26" l="1"/>
  <c r="R187" i="22" l="1"/>
  <c r="Q187" i="22" s="1"/>
  <c r="T187" i="22"/>
  <c r="U187" i="22" s="1"/>
  <c r="H163" i="22" l="1"/>
  <c r="L163" i="22" l="1"/>
  <c r="K163" i="22"/>
  <c r="J163" i="22"/>
  <c r="I163" i="22"/>
  <c r="E30" i="22"/>
  <c r="K159" i="22"/>
  <c r="J159" i="22"/>
  <c r="L159" i="22"/>
  <c r="J160" i="22"/>
  <c r="K160" i="22"/>
  <c r="L160" i="22"/>
  <c r="I159" i="22"/>
  <c r="I160" i="22"/>
  <c r="H160" i="22"/>
  <c r="H159" i="22" s="1"/>
  <c r="B118" i="22" l="1"/>
  <c r="B36" i="22"/>
  <c r="G77" i="22" l="1"/>
  <c r="D8" i="8" s="1"/>
  <c r="F77" i="22"/>
  <c r="E77" i="22"/>
  <c r="D77" i="22"/>
  <c r="G83" i="22"/>
  <c r="D11" i="26" s="1"/>
  <c r="F83" i="22"/>
  <c r="E83" i="22"/>
  <c r="D83" i="22"/>
  <c r="F89" i="22"/>
  <c r="E89" i="22"/>
  <c r="D89" i="22"/>
  <c r="G95" i="22"/>
  <c r="F95" i="22"/>
  <c r="E95" i="22"/>
  <c r="D95" i="22"/>
  <c r="P191" i="22" l="1"/>
  <c r="P192" i="22" s="1"/>
  <c r="P189" i="22"/>
  <c r="P188" i="22" s="1"/>
  <c r="H169" i="22" l="1"/>
  <c r="L14" i="22" l="1"/>
  <c r="E14" i="22" s="1"/>
  <c r="D29" i="8" l="1"/>
  <c r="G29" i="8"/>
  <c r="D5" i="8"/>
  <c r="J25" i="22" s="1"/>
  <c r="D20" i="8" l="1"/>
  <c r="J26" i="22"/>
  <c r="J27" i="22"/>
  <c r="J28" i="22"/>
  <c r="R16" i="8"/>
  <c r="Q16" i="8"/>
  <c r="O52" i="22"/>
  <c r="L157" i="22" l="1"/>
  <c r="G156" i="22"/>
  <c r="D92" i="22"/>
  <c r="E92" i="22"/>
  <c r="F92" i="22"/>
  <c r="G65" i="22"/>
  <c r="G62" i="22"/>
  <c r="D5" i="26" s="1"/>
  <c r="E17" i="22"/>
  <c r="Q11" i="22"/>
  <c r="H51" i="22" s="1"/>
  <c r="Q10" i="22"/>
  <c r="H50" i="22" s="1"/>
  <c r="Q9" i="22"/>
  <c r="H49" i="22" s="1"/>
  <c r="F26" i="22" l="1"/>
  <c r="F25" i="22"/>
  <c r="G68" i="22"/>
  <c r="G50" i="22" s="1"/>
  <c r="N49" i="22"/>
  <c r="R11" i="22"/>
  <c r="I51" i="22" s="1"/>
  <c r="S11" i="22"/>
  <c r="J51" i="22" s="1"/>
  <c r="T11" i="22"/>
  <c r="K51" i="22" s="1"/>
  <c r="U11" i="22"/>
  <c r="L51" i="22" s="1"/>
  <c r="R10" i="22"/>
  <c r="I50" i="22" s="1"/>
  <c r="S10" i="22"/>
  <c r="J50" i="22" s="1"/>
  <c r="T10" i="22"/>
  <c r="K50" i="22" s="1"/>
  <c r="U10" i="22"/>
  <c r="L50" i="22" s="1"/>
  <c r="R9" i="22"/>
  <c r="I49" i="22" s="1"/>
  <c r="S9" i="22"/>
  <c r="J49" i="22" s="1"/>
  <c r="T9" i="22"/>
  <c r="K49" i="22" s="1"/>
  <c r="U9" i="22"/>
  <c r="L49" i="22" s="1"/>
  <c r="O50" i="22" l="1"/>
  <c r="D39" i="22"/>
  <c r="D38" i="22"/>
  <c r="G78" i="22"/>
  <c r="E156" i="22"/>
  <c r="F156" i="22"/>
  <c r="D156" i="22"/>
  <c r="E100" i="22"/>
  <c r="F100" i="22"/>
  <c r="E102" i="22"/>
  <c r="F102" i="22"/>
  <c r="D102" i="22"/>
  <c r="E101" i="22"/>
  <c r="F101" i="22"/>
  <c r="E103" i="22"/>
  <c r="F103" i="22"/>
  <c r="D103" i="22"/>
  <c r="O49" i="22"/>
  <c r="E19" i="22"/>
  <c r="I42" i="26" s="1"/>
  <c r="G133" i="22"/>
  <c r="L84" i="22"/>
  <c r="D78" i="22"/>
  <c r="E78" i="22"/>
  <c r="F78" i="22"/>
  <c r="I69" i="22"/>
  <c r="J69" i="22"/>
  <c r="K69" i="22"/>
  <c r="L69" i="22"/>
  <c r="H69" i="22"/>
  <c r="G71" i="22"/>
  <c r="G74" i="22" s="1"/>
  <c r="D8" i="26" s="1"/>
  <c r="D14" i="26" s="1"/>
  <c r="L63" i="22"/>
  <c r="E71" i="22"/>
  <c r="F71" i="22"/>
  <c r="D71" i="22"/>
  <c r="E65" i="22"/>
  <c r="F65" i="22"/>
  <c r="D65" i="22"/>
  <c r="E62" i="22"/>
  <c r="F62" i="22"/>
  <c r="F90" i="22" s="1"/>
  <c r="D62" i="22"/>
  <c r="L20" i="22"/>
  <c r="E18" i="22"/>
  <c r="L16" i="22" l="1"/>
  <c r="G28" i="8" s="1"/>
  <c r="G30" i="8" s="1"/>
  <c r="I43" i="26"/>
  <c r="I27" i="22"/>
  <c r="I28" i="22"/>
  <c r="I26" i="22"/>
  <c r="J37" i="22"/>
  <c r="J39" i="22"/>
  <c r="K39" i="22" s="1"/>
  <c r="G116" i="22"/>
  <c r="H114" i="22" s="1"/>
  <c r="G102" i="22"/>
  <c r="G96" i="22"/>
  <c r="D40" i="22"/>
  <c r="G55" i="22"/>
  <c r="D93" i="22"/>
  <c r="D90" i="22"/>
  <c r="E93" i="22"/>
  <c r="E90" i="22"/>
  <c r="F93" i="22"/>
  <c r="D101" i="22"/>
  <c r="D56" i="22"/>
  <c r="G51" i="22"/>
  <c r="G66" i="22"/>
  <c r="H62" i="22"/>
  <c r="G80" i="22"/>
  <c r="G86" i="22" s="1"/>
  <c r="G100" i="22" s="1"/>
  <c r="G49" i="22"/>
  <c r="G63" i="22" s="1"/>
  <c r="D68" i="22"/>
  <c r="D74" i="22" s="1"/>
  <c r="D80" i="22" s="1"/>
  <c r="D86" i="22" s="1"/>
  <c r="D100" i="22" s="1"/>
  <c r="L169" i="22"/>
  <c r="K169" i="22"/>
  <c r="J169" i="22"/>
  <c r="I169" i="22"/>
  <c r="B168" i="22"/>
  <c r="L166" i="22"/>
  <c r="K166" i="22"/>
  <c r="J166" i="22"/>
  <c r="I166" i="22"/>
  <c r="H166" i="22"/>
  <c r="B165" i="22"/>
  <c r="B162" i="22"/>
  <c r="G145" i="22"/>
  <c r="G139" i="22"/>
  <c r="H136" i="22" s="1"/>
  <c r="H137" i="22" s="1"/>
  <c r="H131" i="22"/>
  <c r="F96" i="22"/>
  <c r="E96" i="22"/>
  <c r="D96" i="22"/>
  <c r="F56" i="22"/>
  <c r="E56" i="22"/>
  <c r="F68" i="22"/>
  <c r="F50" i="22" s="1"/>
  <c r="F69" i="22" s="1"/>
  <c r="E68" i="22"/>
  <c r="E50" i="22" s="1"/>
  <c r="E69" i="22" s="1"/>
  <c r="F66" i="22"/>
  <c r="E66" i="22"/>
  <c r="D66" i="22"/>
  <c r="F51" i="22"/>
  <c r="E51" i="22"/>
  <c r="E72" i="22" s="1"/>
  <c r="D51" i="22"/>
  <c r="K63" i="22"/>
  <c r="J63" i="22"/>
  <c r="I63" i="22"/>
  <c r="H63" i="22"/>
  <c r="F49" i="22"/>
  <c r="F63" i="22" s="1"/>
  <c r="E49" i="22"/>
  <c r="E63" i="22" s="1"/>
  <c r="B39" i="22"/>
  <c r="B141" i="22" s="1"/>
  <c r="B38" i="22"/>
  <c r="B135" i="22" s="1"/>
  <c r="D37" i="22"/>
  <c r="B37" i="22"/>
  <c r="B130" i="22" s="1"/>
  <c r="L17" i="22"/>
  <c r="H95" i="22" l="1"/>
  <c r="E19" i="26" s="1"/>
  <c r="E5" i="26"/>
  <c r="E6" i="26" s="1"/>
  <c r="I30" i="22"/>
  <c r="G30" i="22"/>
  <c r="H156" i="22"/>
  <c r="H78" i="22" s="1"/>
  <c r="H119" i="22"/>
  <c r="G157" i="22"/>
  <c r="G93" i="22"/>
  <c r="G92" i="22" s="1"/>
  <c r="G72" i="22"/>
  <c r="I72" i="22"/>
  <c r="H68" i="22"/>
  <c r="H65" i="22" s="1"/>
  <c r="H66" i="22" s="1"/>
  <c r="I62" i="22"/>
  <c r="F5" i="26" s="1"/>
  <c r="F6" i="26" s="1"/>
  <c r="G69" i="22"/>
  <c r="D72" i="22"/>
  <c r="N63" i="22"/>
  <c r="E74" i="22"/>
  <c r="F74" i="22"/>
  <c r="G150" i="22"/>
  <c r="D55" i="22"/>
  <c r="D57" i="22" s="1"/>
  <c r="D75" i="22"/>
  <c r="F72" i="22"/>
  <c r="D27" i="8"/>
  <c r="D50" i="22"/>
  <c r="D69" i="22" s="1"/>
  <c r="H142" i="22"/>
  <c r="C79" i="21"/>
  <c r="C78" i="21"/>
  <c r="C69" i="21"/>
  <c r="C68" i="21"/>
  <c r="I68" i="21"/>
  <c r="I67" i="21"/>
  <c r="I66" i="21"/>
  <c r="D68" i="21"/>
  <c r="E68" i="21"/>
  <c r="F68" i="21"/>
  <c r="G68" i="21"/>
  <c r="H68" i="21"/>
  <c r="D67" i="21"/>
  <c r="E67" i="21"/>
  <c r="F67" i="21"/>
  <c r="G67" i="21"/>
  <c r="H67" i="21"/>
  <c r="C67" i="21"/>
  <c r="D66" i="21"/>
  <c r="E66" i="21"/>
  <c r="F66" i="21"/>
  <c r="G66" i="21"/>
  <c r="H66" i="21"/>
  <c r="C66" i="21"/>
  <c r="E20" i="26" l="1"/>
  <c r="J6" i="26"/>
  <c r="H120" i="22"/>
  <c r="H121" i="22"/>
  <c r="H104" i="22"/>
  <c r="H102" i="22"/>
  <c r="E13" i="22"/>
  <c r="D31" i="8"/>
  <c r="J62" i="22"/>
  <c r="G5" i="26" s="1"/>
  <c r="H72" i="22"/>
  <c r="H71" i="22" s="1"/>
  <c r="H74" i="22" s="1"/>
  <c r="O51" i="22"/>
  <c r="I68" i="22"/>
  <c r="I65" i="22" s="1"/>
  <c r="I66" i="22" s="1"/>
  <c r="H148" i="22"/>
  <c r="H168" i="22"/>
  <c r="F75" i="22"/>
  <c r="F80" i="22"/>
  <c r="F86" i="22" s="1"/>
  <c r="E75" i="22"/>
  <c r="E80" i="22"/>
  <c r="E86" i="22" s="1"/>
  <c r="G75" i="22"/>
  <c r="E55" i="22"/>
  <c r="E57" i="22" s="1"/>
  <c r="E58" i="22" s="1"/>
  <c r="G81" i="22"/>
  <c r="N69" i="22"/>
  <c r="F55" i="22"/>
  <c r="F57" i="22" s="1"/>
  <c r="I71" i="22"/>
  <c r="J72" i="22"/>
  <c r="D87" i="22"/>
  <c r="D81" i="22"/>
  <c r="D52" i="22"/>
  <c r="D84" i="22" s="1"/>
  <c r="D58" i="22"/>
  <c r="G40" i="8" l="1"/>
  <c r="E8" i="26"/>
  <c r="E9" i="26" s="1"/>
  <c r="K62" i="22"/>
  <c r="H5" i="26" s="1"/>
  <c r="J68" i="22"/>
  <c r="J65" i="22" s="1"/>
  <c r="J66" i="22" s="1"/>
  <c r="J71" i="22"/>
  <c r="H75" i="22"/>
  <c r="I74" i="22"/>
  <c r="H55" i="22"/>
  <c r="F81" i="22"/>
  <c r="E81" i="22"/>
  <c r="F58" i="22"/>
  <c r="E87" i="22"/>
  <c r="F87" i="22"/>
  <c r="F52" i="22"/>
  <c r="F84" i="22" s="1"/>
  <c r="E52" i="22"/>
  <c r="E84" i="22" s="1"/>
  <c r="L72" i="22"/>
  <c r="K72" i="22"/>
  <c r="E40" i="22"/>
  <c r="F28" i="22"/>
  <c r="E37" i="22"/>
  <c r="F27" i="22"/>
  <c r="F30" i="22" s="1"/>
  <c r="E38" i="22"/>
  <c r="K37" i="22"/>
  <c r="E39" i="22"/>
  <c r="I95" i="22"/>
  <c r="F19" i="26" s="1"/>
  <c r="F20" i="26" s="1"/>
  <c r="H40" i="8" l="1"/>
  <c r="F8" i="26"/>
  <c r="F9" i="26" s="1"/>
  <c r="G9" i="26" s="1"/>
  <c r="H9" i="26" s="1"/>
  <c r="I9" i="26" s="1"/>
  <c r="J74" i="22"/>
  <c r="L62" i="22"/>
  <c r="K71" i="22"/>
  <c r="K68" i="22"/>
  <c r="K65" i="22" s="1"/>
  <c r="K66" i="22" s="1"/>
  <c r="I75" i="22"/>
  <c r="I102" i="22"/>
  <c r="I55" i="22"/>
  <c r="G52" i="22"/>
  <c r="G84" i="22" s="1"/>
  <c r="N72" i="22"/>
  <c r="J95" i="22"/>
  <c r="G19" i="26" s="1"/>
  <c r="G20" i="26" s="1"/>
  <c r="I40" i="8" l="1"/>
  <c r="G8" i="26"/>
  <c r="J75" i="22"/>
  <c r="L68" i="22"/>
  <c r="L65" i="22" s="1"/>
  <c r="L66" i="22" s="1"/>
  <c r="N66" i="22" s="1"/>
  <c r="I5" i="26"/>
  <c r="J55" i="22"/>
  <c r="J9" i="26"/>
  <c r="L71" i="22"/>
  <c r="K74" i="22"/>
  <c r="J102" i="22"/>
  <c r="K95" i="22"/>
  <c r="H19" i="26" s="1"/>
  <c r="H20" i="26" s="1"/>
  <c r="L95" i="22"/>
  <c r="I19" i="26" s="1"/>
  <c r="G87" i="22"/>
  <c r="H84" i="22"/>
  <c r="G27" i="8" s="1"/>
  <c r="I20" i="26" l="1"/>
  <c r="J20" i="26"/>
  <c r="K55" i="22"/>
  <c r="J40" i="8"/>
  <c r="H8" i="26"/>
  <c r="L74" i="22"/>
  <c r="K75" i="22"/>
  <c r="K102" i="22"/>
  <c r="L102" i="22"/>
  <c r="I84" i="22"/>
  <c r="L55" i="22" l="1"/>
  <c r="L75" i="22"/>
  <c r="K40" i="8"/>
  <c r="I8" i="26"/>
  <c r="J84" i="22"/>
  <c r="K84" i="22" l="1"/>
  <c r="D21" i="8" l="1"/>
  <c r="E22" i="8" s="1"/>
  <c r="D18" i="8" l="1"/>
  <c r="D19" i="8" l="1"/>
  <c r="D24" i="8" s="1"/>
  <c r="D32" i="8"/>
  <c r="G31" i="8" l="1"/>
  <c r="G32" i="8" s="1"/>
  <c r="G34" i="8" s="1"/>
  <c r="E26" i="26" s="1"/>
  <c r="H8" i="10"/>
  <c r="K16" i="8"/>
  <c r="L16" i="8"/>
  <c r="M16" i="8"/>
  <c r="N16" i="8"/>
  <c r="O16" i="8"/>
  <c r="P16" i="8"/>
  <c r="D16" i="10"/>
  <c r="D28" i="10"/>
  <c r="D40" i="10"/>
  <c r="D52" i="10"/>
  <c r="D64" i="10"/>
  <c r="D76" i="10"/>
  <c r="D88" i="10"/>
  <c r="D100" i="10"/>
  <c r="D112" i="10"/>
  <c r="D124" i="10"/>
  <c r="D4" i="10"/>
  <c r="H4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4" i="9"/>
  <c r="G26" i="26" l="1"/>
  <c r="I55" i="26"/>
  <c r="H26" i="26"/>
  <c r="I26" i="26"/>
  <c r="F26" i="26"/>
  <c r="H4" i="10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D9" i="8" l="1"/>
  <c r="D10" i="8" s="1"/>
  <c r="D12" i="8" l="1"/>
  <c r="D15" i="8" s="1"/>
  <c r="D30" i="8" l="1"/>
  <c r="D34" i="8" s="1"/>
  <c r="C77" i="21" l="1"/>
  <c r="C85" i="21" s="1"/>
  <c r="H116" i="22" l="1"/>
  <c r="I114" i="22" s="1"/>
  <c r="I119" i="22" s="1"/>
  <c r="I120" i="22" l="1"/>
  <c r="I121" i="22" s="1"/>
  <c r="I156" i="22"/>
  <c r="I78" i="22" s="1"/>
  <c r="I116" i="22" l="1"/>
  <c r="J114" i="22" s="1"/>
  <c r="J156" i="22" l="1"/>
  <c r="J78" i="22" s="1"/>
  <c r="J119" i="22"/>
  <c r="J116" i="22"/>
  <c r="K114" i="22" s="1"/>
  <c r="J120" i="22" l="1"/>
  <c r="J121" i="22" s="1"/>
  <c r="K156" i="22"/>
  <c r="K78" i="22" s="1"/>
  <c r="K119" i="22"/>
  <c r="K116" i="22"/>
  <c r="L114" i="22" s="1"/>
  <c r="K120" i="22" l="1"/>
  <c r="K121" i="22"/>
  <c r="L156" i="22"/>
  <c r="L78" i="22" s="1"/>
  <c r="L119" i="22"/>
  <c r="L116" i="22"/>
  <c r="G56" i="22"/>
  <c r="G57" i="22" s="1"/>
  <c r="G58" i="22" s="1"/>
  <c r="H93" i="22"/>
  <c r="H92" i="22" s="1"/>
  <c r="E16" i="26" s="1"/>
  <c r="E17" i="26" s="1"/>
  <c r="I93" i="22"/>
  <c r="I92" i="22" s="1"/>
  <c r="F16" i="26" s="1"/>
  <c r="F17" i="26" s="1"/>
  <c r="G17" i="26" s="1"/>
  <c r="H17" i="26" s="1"/>
  <c r="I17" i="26" s="1"/>
  <c r="J93" i="22"/>
  <c r="J92" i="22" s="1"/>
  <c r="G16" i="26" s="1"/>
  <c r="K93" i="22"/>
  <c r="K92" i="22" s="1"/>
  <c r="H16" i="26" s="1"/>
  <c r="L93" i="22"/>
  <c r="L92" i="22" s="1"/>
  <c r="I16" i="26" s="1"/>
  <c r="G101" i="22"/>
  <c r="J17" i="26" l="1"/>
  <c r="L120" i="22"/>
  <c r="L121" i="22"/>
  <c r="K56" i="22"/>
  <c r="K57" i="22" s="1"/>
  <c r="L56" i="22"/>
  <c r="L57" i="22" s="1"/>
  <c r="L176" i="22" s="1"/>
  <c r="J101" i="22"/>
  <c r="J56" i="22"/>
  <c r="J57" i="22" s="1"/>
  <c r="I56" i="22"/>
  <c r="I57" i="22" s="1"/>
  <c r="I101" i="22"/>
  <c r="H56" i="22"/>
  <c r="H57" i="22" s="1"/>
  <c r="H101" i="22"/>
  <c r="L101" i="22"/>
  <c r="K101" i="22"/>
  <c r="K58" i="22" l="1"/>
  <c r="L58" i="22"/>
  <c r="I58" i="22"/>
  <c r="H58" i="22"/>
  <c r="J58" i="22"/>
  <c r="C76" i="21"/>
  <c r="C81" i="21" s="1"/>
  <c r="L10" i="22" l="1"/>
  <c r="I48" i="26" l="1"/>
  <c r="L13" i="22"/>
  <c r="L19" i="22" l="1"/>
  <c r="J36" i="22"/>
  <c r="K36" i="22" l="1"/>
  <c r="C87" i="21"/>
  <c r="C88" i="21" s="1"/>
  <c r="L21" i="22"/>
  <c r="E20" i="22" s="1"/>
  <c r="L177" i="22" s="1"/>
  <c r="L178" i="22" s="1"/>
  <c r="J38" i="22"/>
  <c r="J43" i="22" l="1"/>
  <c r="L38" i="22" s="1"/>
  <c r="K38" i="22"/>
  <c r="K43" i="22" s="1"/>
  <c r="L37" i="22" l="1"/>
  <c r="D43" i="22"/>
  <c r="L39" i="22"/>
  <c r="L36" i="22"/>
  <c r="L43" i="22" l="1"/>
  <c r="D41" i="22"/>
  <c r="F38" i="22"/>
  <c r="F39" i="22"/>
  <c r="F37" i="22"/>
  <c r="F43" i="22"/>
  <c r="F40" i="22"/>
  <c r="F41" i="22" l="1"/>
  <c r="E41" i="22"/>
  <c r="E43" i="22" s="1"/>
  <c r="L183" i="22"/>
  <c r="E11" i="26"/>
  <c r="F11" i="26"/>
  <c r="G11" i="26"/>
  <c r="H11" i="26"/>
  <c r="I11" i="26"/>
  <c r="E14" i="26"/>
  <c r="F14" i="26"/>
  <c r="G14" i="26"/>
  <c r="H14" i="26"/>
  <c r="I14" i="26"/>
  <c r="E22" i="26"/>
  <c r="F22" i="26"/>
  <c r="G22" i="26"/>
  <c r="H22" i="26"/>
  <c r="I22" i="26"/>
  <c r="E23" i="26"/>
  <c r="F23" i="26"/>
  <c r="G23" i="26"/>
  <c r="H23" i="26"/>
  <c r="I23" i="26"/>
  <c r="J23" i="26"/>
  <c r="E25" i="26"/>
  <c r="F25" i="26"/>
  <c r="G25" i="26"/>
  <c r="H25" i="26"/>
  <c r="I25" i="26"/>
  <c r="E27" i="26"/>
  <c r="F27" i="26"/>
  <c r="G27" i="26"/>
  <c r="H27" i="26"/>
  <c r="I27" i="26"/>
  <c r="E29" i="26"/>
  <c r="F29" i="26"/>
  <c r="G29" i="26"/>
  <c r="H29" i="26"/>
  <c r="I29" i="26"/>
  <c r="E30" i="26"/>
  <c r="F30" i="26"/>
  <c r="G30" i="26"/>
  <c r="H30" i="26"/>
  <c r="I30" i="26"/>
  <c r="E31" i="26"/>
  <c r="F31" i="26"/>
  <c r="G31" i="26"/>
  <c r="H31" i="26"/>
  <c r="I31" i="26"/>
  <c r="E32" i="26"/>
  <c r="F32" i="26"/>
  <c r="G32" i="26"/>
  <c r="H32" i="26"/>
  <c r="I32" i="26"/>
  <c r="I35" i="26"/>
  <c r="I36" i="26"/>
  <c r="I37" i="26"/>
  <c r="I38" i="26"/>
  <c r="I39" i="26"/>
  <c r="I40" i="26"/>
  <c r="I41" i="26"/>
  <c r="I44" i="26"/>
  <c r="I46" i="26"/>
  <c r="I49" i="26"/>
  <c r="I52" i="26"/>
  <c r="I53" i="26"/>
  <c r="I58" i="26"/>
  <c r="G41" i="8"/>
  <c r="H41" i="8"/>
  <c r="I41" i="8"/>
  <c r="J41" i="8"/>
  <c r="K41" i="8"/>
  <c r="G42" i="8"/>
  <c r="H42" i="8"/>
  <c r="I42" i="8"/>
  <c r="J42" i="8"/>
  <c r="K42" i="8"/>
  <c r="G43" i="8"/>
  <c r="H43" i="8"/>
  <c r="I43" i="8"/>
  <c r="J43" i="8"/>
  <c r="K43" i="8"/>
  <c r="G45" i="8"/>
  <c r="H45" i="8"/>
  <c r="I45" i="8"/>
  <c r="J45" i="8"/>
  <c r="K45" i="8"/>
  <c r="G48" i="8"/>
  <c r="H48" i="8"/>
  <c r="I48" i="8"/>
  <c r="J48" i="8"/>
  <c r="K48" i="8"/>
  <c r="L5" i="22"/>
  <c r="H77" i="22"/>
  <c r="I77" i="22"/>
  <c r="J77" i="22"/>
  <c r="K77" i="22"/>
  <c r="L77" i="22"/>
  <c r="H80" i="22"/>
  <c r="I80" i="22"/>
  <c r="J80" i="22"/>
  <c r="K80" i="22"/>
  <c r="L80" i="22"/>
  <c r="H81" i="22"/>
  <c r="I81" i="22"/>
  <c r="J81" i="22"/>
  <c r="K81" i="22"/>
  <c r="L81" i="22"/>
  <c r="H83" i="22"/>
  <c r="I83" i="22"/>
  <c r="J83" i="22"/>
  <c r="K83" i="22"/>
  <c r="L83" i="22"/>
  <c r="H86" i="22"/>
  <c r="I86" i="22"/>
  <c r="J86" i="22"/>
  <c r="K86" i="22"/>
  <c r="L86" i="22"/>
  <c r="H87" i="22"/>
  <c r="I87" i="22"/>
  <c r="J87" i="22"/>
  <c r="K87" i="22"/>
  <c r="L87" i="22"/>
  <c r="G89" i="22"/>
  <c r="H89" i="22"/>
  <c r="I89" i="22"/>
  <c r="J89" i="22"/>
  <c r="K89" i="22"/>
  <c r="L89" i="22"/>
  <c r="G90" i="22"/>
  <c r="H90" i="22"/>
  <c r="I90" i="22"/>
  <c r="J90" i="22"/>
  <c r="K90" i="22"/>
  <c r="L90" i="22"/>
  <c r="H100" i="22"/>
  <c r="I100" i="22"/>
  <c r="J100" i="22"/>
  <c r="K100" i="22"/>
  <c r="L100" i="22"/>
  <c r="G103" i="22"/>
  <c r="H103" i="22"/>
  <c r="I103" i="22"/>
  <c r="J103" i="22"/>
  <c r="K103" i="22"/>
  <c r="L103" i="22"/>
  <c r="I104" i="22"/>
  <c r="J104" i="22"/>
  <c r="K104" i="22"/>
  <c r="L104" i="22"/>
  <c r="H105" i="22"/>
  <c r="I105" i="22"/>
  <c r="J105" i="22"/>
  <c r="K105" i="22"/>
  <c r="L105" i="22"/>
  <c r="H108" i="22"/>
  <c r="I108" i="22"/>
  <c r="J108" i="22"/>
  <c r="K108" i="22"/>
  <c r="L108" i="22"/>
  <c r="H122" i="22"/>
  <c r="I122" i="22"/>
  <c r="J122" i="22"/>
  <c r="K122" i="22"/>
  <c r="L122" i="22"/>
  <c r="H123" i="22"/>
  <c r="I123" i="22"/>
  <c r="J123" i="22"/>
  <c r="K123" i="22"/>
  <c r="L123" i="22"/>
  <c r="I131" i="22"/>
  <c r="J131" i="22"/>
  <c r="K131" i="22"/>
  <c r="L131" i="22"/>
  <c r="H132" i="22"/>
  <c r="I132" i="22"/>
  <c r="J132" i="22"/>
  <c r="K132" i="22"/>
  <c r="L132" i="22"/>
  <c r="H133" i="22"/>
  <c r="I133" i="22"/>
  <c r="J133" i="22"/>
  <c r="K133" i="22"/>
  <c r="L133" i="22"/>
  <c r="I136" i="22"/>
  <c r="J136" i="22"/>
  <c r="K136" i="22"/>
  <c r="L136" i="22"/>
  <c r="I137" i="22"/>
  <c r="J137" i="22"/>
  <c r="K137" i="22"/>
  <c r="L137" i="22"/>
  <c r="H138" i="22"/>
  <c r="I138" i="22"/>
  <c r="J138" i="22"/>
  <c r="K138" i="22"/>
  <c r="L138" i="22"/>
  <c r="H139" i="22"/>
  <c r="I139" i="22"/>
  <c r="J139" i="22"/>
  <c r="K139" i="22"/>
  <c r="L139" i="22"/>
  <c r="I142" i="22"/>
  <c r="J142" i="22"/>
  <c r="K142" i="22"/>
  <c r="L142" i="22"/>
  <c r="H144" i="22"/>
  <c r="I144" i="22"/>
  <c r="J144" i="22"/>
  <c r="K144" i="22"/>
  <c r="L144" i="22"/>
  <c r="H145" i="22"/>
  <c r="I145" i="22"/>
  <c r="J145" i="22"/>
  <c r="K145" i="22"/>
  <c r="L145" i="22"/>
  <c r="I148" i="22"/>
  <c r="J148" i="22"/>
  <c r="K148" i="22"/>
  <c r="L148" i="22"/>
  <c r="H149" i="22"/>
  <c r="I149" i="22"/>
  <c r="J149" i="22"/>
  <c r="K149" i="22"/>
  <c r="L149" i="22"/>
  <c r="H150" i="22"/>
  <c r="I150" i="22"/>
  <c r="J150" i="22"/>
  <c r="K150" i="22"/>
  <c r="L150" i="22"/>
  <c r="H151" i="22"/>
  <c r="I151" i="22"/>
  <c r="J151" i="22"/>
  <c r="K151" i="22"/>
  <c r="L151" i="22"/>
  <c r="H162" i="22"/>
  <c r="I162" i="22"/>
  <c r="J162" i="22"/>
  <c r="K162" i="22"/>
  <c r="L162" i="22"/>
  <c r="H165" i="22"/>
  <c r="I165" i="22"/>
  <c r="J165" i="22"/>
  <c r="K165" i="22"/>
  <c r="L165" i="22"/>
  <c r="I168" i="22"/>
  <c r="J168" i="22"/>
  <c r="K168" i="22"/>
  <c r="L168" i="22"/>
  <c r="H171" i="22"/>
  <c r="I171" i="22"/>
  <c r="J171" i="22"/>
  <c r="K171" i="22"/>
  <c r="L171" i="22"/>
  <c r="H172" i="22"/>
  <c r="I172" i="22"/>
  <c r="J172" i="22"/>
  <c r="K172" i="22"/>
  <c r="L172" i="22"/>
  <c r="L179" i="22"/>
  <c r="L180" i="22"/>
  <c r="L181" i="22"/>
  <c r="L185" i="22"/>
  <c r="L186" i="22"/>
  <c r="H187" i="22"/>
  <c r="I187" i="22"/>
  <c r="J187" i="22"/>
  <c r="K187" i="22"/>
  <c r="L187" i="22"/>
  <c r="P18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Stolt</author>
  </authors>
  <commentList>
    <comment ref="C98" authorId="0" shapeId="0" xr:uid="{D0417833-443C-FF43-8002-2590E6FA40CA}">
      <text>
        <r>
          <rPr>
            <b/>
            <sz val="10"/>
            <color rgb="FF000000"/>
            <rFont val="Tahoma"/>
            <family val="2"/>
          </rPr>
          <t>David Stolt: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FCFE=Net Income+Depreciation &amp; Amortization−Capital Expenditures− change in NWC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Same thing as: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</t>
        </r>
        <r>
          <rPr>
            <sz val="10"/>
            <color rgb="FF000000"/>
            <rFont val="Calibri"/>
            <family val="2"/>
          </rPr>
          <t>CFE=FCFF−Interest Expense⋅(1−Tax Rate)+Net Borrowing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Stolt</author>
  </authors>
  <commentList>
    <comment ref="J3" authorId="0" shapeId="0" xr:uid="{FE84F0D7-D3D4-9C41-B092-52FC08B8E901}">
      <text>
        <r>
          <rPr>
            <b/>
            <sz val="10"/>
            <color rgb="FF000000"/>
            <rFont val="Tahoma"/>
            <family val="2"/>
          </rPr>
          <t>David Stolt: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https://www.investing.com/rates-bonds/poland-10-year-bond-yield-historical-data </t>
        </r>
      </text>
    </comment>
    <comment ref="D10" authorId="0" shapeId="0" xr:uid="{0050C37D-4E64-BC42-AFD0-2E2B44BB689A}">
      <text>
        <r>
          <rPr>
            <b/>
            <sz val="10"/>
            <color rgb="FF000000"/>
            <rFont val="Tahoma"/>
            <family val="2"/>
          </rPr>
          <t>David Stolt: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Very low risk which the (2) confirm; reality check. </t>
        </r>
      </text>
    </comment>
    <comment ref="G26" authorId="0" shapeId="0" xr:uid="{44FEC157-3F82-574F-9656-CFDB8C88F825}">
      <text>
        <r>
          <rPr>
            <b/>
            <sz val="10"/>
            <color rgb="FF000000"/>
            <rFont val="Tahoma"/>
            <family val="2"/>
          </rPr>
          <t>David Stolt: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β_unlevered = β_levered / (1 + (1 - Skattesats) * (Skuld/Eget Kapital))</t>
        </r>
      </text>
    </comment>
  </commentList>
</comments>
</file>

<file path=xl/sharedStrings.xml><?xml version="1.0" encoding="utf-8"?>
<sst xmlns="http://schemas.openxmlformats.org/spreadsheetml/2006/main" count="2696" uniqueCount="2440">
  <si>
    <t>Income Statement | TIKR.com</t>
  </si>
  <si>
    <t>LTM</t>
  </si>
  <si>
    <t>Actuals &amp; Forward Estimates | TIKR.com</t>
  </si>
  <si>
    <t>31/12/24 E</t>
  </si>
  <si>
    <t>31/12/25 E</t>
  </si>
  <si>
    <t>31/12/26 E</t>
  </si>
  <si>
    <t>31/12/27 E</t>
  </si>
  <si>
    <t>31/12/28 E</t>
  </si>
  <si>
    <t>CAGR</t>
  </si>
  <si>
    <t>Cash Flow Statement | TIKR.com</t>
  </si>
  <si>
    <t>Balance Sheet | TIKR.com</t>
  </si>
  <si>
    <t>Cash And Equivalents</t>
  </si>
  <si>
    <t>Revenues</t>
  </si>
  <si>
    <t>Revenue</t>
  </si>
  <si>
    <t>Net Income</t>
  </si>
  <si>
    <t>Short Term Investments</t>
  </si>
  <si>
    <t>Total Revenues</t>
  </si>
  <si>
    <t>   % Change YoY</t>
  </si>
  <si>
    <t>Depreciation &amp; Amortization</t>
  </si>
  <si>
    <t>Total Cash And Short Term Investments</t>
  </si>
  <si>
    <t>EBITDA</t>
  </si>
  <si>
    <t>Amortization of Goodwill and Intangible Assets</t>
  </si>
  <si>
    <t>Accounts Receivable</t>
  </si>
  <si>
    <t>Cost of Goods Sold</t>
  </si>
  <si>
    <t>Total Depreciation &amp; Amortization</t>
  </si>
  <si>
    <t>Other Receivables</t>
  </si>
  <si>
    <t>Gross Profit</t>
  </si>
  <si>
    <t>   % EBITDA Margins</t>
  </si>
  <si>
    <t>(Gain) Loss From Sale Of Asset</t>
  </si>
  <si>
    <t>Notes Receivable</t>
  </si>
  <si>
    <t>EBIT</t>
  </si>
  <si>
    <t>(Gain) Loss on Sale of Investments</t>
  </si>
  <si>
    <t>Total Receivables</t>
  </si>
  <si>
    <t>   % Gross Margins</t>
  </si>
  <si>
    <t>Asset Writedown &amp; Restructuring Costs</t>
  </si>
  <si>
    <t>Inventory</t>
  </si>
  <si>
    <t>Selling General &amp; Admin Expenses</t>
  </si>
  <si>
    <t>   % EBIT Margins</t>
  </si>
  <si>
    <t>Other Operating Activities</t>
  </si>
  <si>
    <t>Prepaid Expenses</t>
  </si>
  <si>
    <t>EBT Normalized</t>
  </si>
  <si>
    <t>Change In Accounts Receivable</t>
  </si>
  <si>
    <t>Other Current Assets</t>
  </si>
  <si>
    <t>Change In Inventories</t>
  </si>
  <si>
    <t>Total Current Assets</t>
  </si>
  <si>
    <t>Other Operating Expenses</t>
  </si>
  <si>
    <t>   % EBT Margins</t>
  </si>
  <si>
    <t>Change in Unearned Revenues</t>
  </si>
  <si>
    <t>Gross Property Plant And Equipment</t>
  </si>
  <si>
    <t>Total Operating Expenses</t>
  </si>
  <si>
    <t>Net Income Normalized</t>
  </si>
  <si>
    <t>Change in Other Net Operating Assets</t>
  </si>
  <si>
    <t>Accumulated Depreciation</t>
  </si>
  <si>
    <t>Operating Income</t>
  </si>
  <si>
    <t>Cash from Operations</t>
  </si>
  <si>
    <t>Net Property Plant And Equipment</t>
  </si>
  <si>
    <t>   % Net Income Margins</t>
  </si>
  <si>
    <t>Memo: Change in Net Working Capital</t>
  </si>
  <si>
    <t>Goodwill</t>
  </si>
  <si>
    <t>   % Operating Margins</t>
  </si>
  <si>
    <t>EPS Normalized</t>
  </si>
  <si>
    <t>Capital Expenditure</t>
  </si>
  <si>
    <t>Other Intangibles</t>
  </si>
  <si>
    <t>Interest Expense</t>
  </si>
  <si>
    <t>Sale of Property, Plant, and Equipment</t>
  </si>
  <si>
    <t>Deferred Tax Assets Long-Term</t>
  </si>
  <si>
    <t>Interest And Investment Income</t>
  </si>
  <si>
    <t>EPS (GAAP)</t>
  </si>
  <si>
    <t>Cash Acquisitions</t>
  </si>
  <si>
    <t>Other Long-Term Assets</t>
  </si>
  <si>
    <t>Currency Exchange Gains (Loss)</t>
  </si>
  <si>
    <t>Investment in Marketable and Equity Securities</t>
  </si>
  <si>
    <t>Total Assets</t>
  </si>
  <si>
    <t>Other Non Operating Income (Expenses)</t>
  </si>
  <si>
    <t>Free Cash Flow</t>
  </si>
  <si>
    <t>Net (Increase) Decrease in Loans Originated / Sold - Investing</t>
  </si>
  <si>
    <t>Accounts Payable</t>
  </si>
  <si>
    <t>EBT Excl. Unusual Items</t>
  </si>
  <si>
    <t>Other Investing Activities</t>
  </si>
  <si>
    <t>Accrued Expenses</t>
  </si>
  <si>
    <t>Gain (Loss) On Sale Of Investments</t>
  </si>
  <si>
    <t>   % Free Cash Flow Margins</t>
  </si>
  <si>
    <t>Cash from Investing</t>
  </si>
  <si>
    <t>Short-term Borrowings</t>
  </si>
  <si>
    <t>Gain (Loss) On Sale Of Assets</t>
  </si>
  <si>
    <t>Dividend Per Share</t>
  </si>
  <si>
    <t>Total Debt Issued</t>
  </si>
  <si>
    <t>Current Portion of Long-Term Debt</t>
  </si>
  <si>
    <t>Asset Writedown</t>
  </si>
  <si>
    <t>Total Debt Repaid</t>
  </si>
  <si>
    <t>Current Portion of Capital Lease Obligations</t>
  </si>
  <si>
    <t>Legal Settlements</t>
  </si>
  <si>
    <t>   IS Supplementary Data:</t>
  </si>
  <si>
    <t>Issuance of Common Stock</t>
  </si>
  <si>
    <t>Current Income Taxes Payable</t>
  </si>
  <si>
    <t>Other Unusual Items</t>
  </si>
  <si>
    <t>Gross Margin (%)</t>
  </si>
  <si>
    <t>Repurchase of Common Stock</t>
  </si>
  <si>
    <t>Unearned Revenue Current</t>
  </si>
  <si>
    <t>EBT Incl. Unusual Items</t>
  </si>
  <si>
    <t>Common Dividends Paid</t>
  </si>
  <si>
    <t>Other Current Liabilities</t>
  </si>
  <si>
    <t>Income Tax Expense</t>
  </si>
  <si>
    <t>Common &amp; Preferred Stock Dividends Paid</t>
  </si>
  <si>
    <t>Total Current Liabilities</t>
  </si>
  <si>
    <t>Earnings From Continuing Operations</t>
  </si>
  <si>
    <t>Other Financing Activities</t>
  </si>
  <si>
    <t>Long-Term Debt</t>
  </si>
  <si>
    <t>Net Income to Company</t>
  </si>
  <si>
    <t>Effective Tax Rate (%)</t>
  </si>
  <si>
    <t>Cash from Financing</t>
  </si>
  <si>
    <t>Capital Leases</t>
  </si>
  <si>
    <t>Minority Interest</t>
  </si>
  <si>
    <t>EBT (GAAP) Actual</t>
  </si>
  <si>
    <t>Net Change in Cash</t>
  </si>
  <si>
    <t>Unearned Revenue Non Current</t>
  </si>
  <si>
    <t>Supplementary Data:</t>
  </si>
  <si>
    <t>Pension &amp; Other Post Retirement Benefits</t>
  </si>
  <si>
    <t>Net Income to Common Incl Extra Items</t>
  </si>
  <si>
    <t>Net Income (GAAP)</t>
  </si>
  <si>
    <t>Deferred Tax Liability Non Current</t>
  </si>
  <si>
    <t>   % Net Income to Common Incl Extra Items Margins</t>
  </si>
  <si>
    <t>Other Non Current Liabilities</t>
  </si>
  <si>
    <t>Net Income to Common Excl. Extra Items</t>
  </si>
  <si>
    <t>Cash EPS</t>
  </si>
  <si>
    <t>Total Liabilities</t>
  </si>
  <si>
    <t>   % Net Income to Common Excl. Extra Items Margins</t>
  </si>
  <si>
    <t>Cash and Cash Equivalents, Beginning of Period</t>
  </si>
  <si>
    <t>Common Stock</t>
  </si>
  <si>
    <t>   CF Supplementary Data:</t>
  </si>
  <si>
    <t>Cash and Cash Equivalents, End of Period</t>
  </si>
  <si>
    <t>Additional Paid In Capital</t>
  </si>
  <si>
    <t>Diluted EPS Excl Extra Items</t>
  </si>
  <si>
    <t>Cash From Operations</t>
  </si>
  <si>
    <t>Cash Interest Paid</t>
  </si>
  <si>
    <t>Retained Earnings</t>
  </si>
  <si>
    <t>Cash Taxes Paid</t>
  </si>
  <si>
    <t>Comprehensive Income and Other</t>
  </si>
  <si>
    <t>Weighted Average Diluted Shares Outstanding</t>
  </si>
  <si>
    <t>Cash Flow per Share</t>
  </si>
  <si>
    <t>Total Common Equity</t>
  </si>
  <si>
    <t>Weighted Average Basic Shares Outstanding</t>
  </si>
  <si>
    <t>   BS Supplementary Data:</t>
  </si>
  <si>
    <t>Total Equity</t>
  </si>
  <si>
    <t>Net Debt</t>
  </si>
  <si>
    <t>Total Liabilities And Equity</t>
  </si>
  <si>
    <t>Dividends Per Share</t>
  </si>
  <si>
    <t>   Net Debt/EBITDA</t>
  </si>
  <si>
    <t>Book Value / Share</t>
  </si>
  <si>
    <t>Total Shares Out. on Filing Date</t>
  </si>
  <si>
    <t>Special Dividends Per Share</t>
  </si>
  <si>
    <t>Payout Ratio %</t>
  </si>
  <si>
    <t>Return on Equity (%)</t>
  </si>
  <si>
    <t>Tangible Book Value</t>
  </si>
  <si>
    <t>Basic EPS</t>
  </si>
  <si>
    <t>Return on Assets (%)</t>
  </si>
  <si>
    <t>Tangible Book Value / Share</t>
  </si>
  <si>
    <t>Total Debt</t>
  </si>
  <si>
    <t>   Price Factors</t>
  </si>
  <si>
    <t>R&amp;D Expense</t>
  </si>
  <si>
    <t>Market Cap</t>
  </si>
  <si>
    <t>Total Minority Interest</t>
  </si>
  <si>
    <t>Selling and Marketing Expense</t>
  </si>
  <si>
    <t>Price Close</t>
  </si>
  <si>
    <t>Land</t>
  </si>
  <si>
    <t>General and Administrative Expense</t>
  </si>
  <si>
    <t>TEV</t>
  </si>
  <si>
    <t>Buildings</t>
  </si>
  <si>
    <t>Effective Tax Rate %</t>
  </si>
  <si>
    <t>Construction In Progress</t>
  </si>
  <si>
    <t>Price Factors:</t>
  </si>
  <si>
    <t>Full Time Employees</t>
  </si>
  <si>
    <t>43,20 PLN</t>
  </si>
  <si>
    <t>104,00 PLN</t>
  </si>
  <si>
    <t>230,00 PLN</t>
  </si>
  <si>
    <t>385,00 PLN</t>
  </si>
  <si>
    <t>298,00 PLN</t>
  </si>
  <si>
    <t>331,00 PLN</t>
  </si>
  <si>
    <t>2024E</t>
  </si>
  <si>
    <t>2025E</t>
  </si>
  <si>
    <t>FCFF</t>
  </si>
  <si>
    <t xml:space="preserve">m </t>
  </si>
  <si>
    <t>avg</t>
  </si>
  <si>
    <t>wacc</t>
  </si>
  <si>
    <t>terminal growth</t>
  </si>
  <si>
    <t>m</t>
  </si>
  <si>
    <t>V</t>
  </si>
  <si>
    <t>c</t>
  </si>
  <si>
    <t>i</t>
  </si>
  <si>
    <t>Debt</t>
  </si>
  <si>
    <t>EV</t>
  </si>
  <si>
    <t>D</t>
  </si>
  <si>
    <t>Mo-Bruk SA</t>
  </si>
  <si>
    <t>Previous report: Q3 2024</t>
  </si>
  <si>
    <t>Discounting factor</t>
  </si>
  <si>
    <t>2024 E</t>
  </si>
  <si>
    <t>2026E</t>
  </si>
  <si>
    <t>2027E</t>
  </si>
  <si>
    <t>2028E</t>
  </si>
  <si>
    <t>2029E</t>
  </si>
  <si>
    <t>AVG</t>
  </si>
  <si>
    <t xml:space="preserve">Revenue </t>
  </si>
  <si>
    <t>% growth</t>
  </si>
  <si>
    <t>Operating Income (EBIT)</t>
  </si>
  <si>
    <t>% of revenue</t>
  </si>
  <si>
    <t>(-) Taxes</t>
  </si>
  <si>
    <t>% tax rate</t>
  </si>
  <si>
    <t>EBIAT   (EBIT after tax)</t>
  </si>
  <si>
    <t>(+) D&amp;A</t>
  </si>
  <si>
    <t>% of CAPX</t>
  </si>
  <si>
    <t xml:space="preserve">(-) CapEx </t>
  </si>
  <si>
    <t>Change in net working capital</t>
  </si>
  <si>
    <t>Valuation</t>
  </si>
  <si>
    <t>Terminal value</t>
  </si>
  <si>
    <t>PV of terminal value</t>
  </si>
  <si>
    <t>Cash &amp; cash equivalents</t>
  </si>
  <si>
    <t>Equity value</t>
  </si>
  <si>
    <t>Shares outstanding (m)</t>
  </si>
  <si>
    <t>Price target</t>
  </si>
  <si>
    <t>Reference price (offer)</t>
  </si>
  <si>
    <t>Current share price</t>
  </si>
  <si>
    <t>Upside</t>
  </si>
  <si>
    <t>Upside (%)</t>
  </si>
  <si>
    <t>Terminal growth rate:</t>
  </si>
  <si>
    <t>LBO</t>
  </si>
  <si>
    <t>x</t>
  </si>
  <si>
    <t xml:space="preserve">IRR </t>
  </si>
  <si>
    <t>Mo-Bruk Estimates</t>
  </si>
  <si>
    <t>IRR (for reference)</t>
  </si>
  <si>
    <t>Scenario Choosen:</t>
  </si>
  <si>
    <t>Base case</t>
  </si>
  <si>
    <t>▼</t>
  </si>
  <si>
    <t>Assumptions</t>
  </si>
  <si>
    <t>Transaction Background</t>
  </si>
  <si>
    <t>Valuation at Entry</t>
  </si>
  <si>
    <t>Revenue growth</t>
  </si>
  <si>
    <t>Company name</t>
  </si>
  <si>
    <t>Mo-Bruk</t>
  </si>
  <si>
    <t>Offer value / share</t>
  </si>
  <si>
    <t>Gross margin</t>
  </si>
  <si>
    <t>Latest closing share price</t>
  </si>
  <si>
    <t>% Premium / discount</t>
  </si>
  <si>
    <t>OpEx margin</t>
  </si>
  <si>
    <t>Latest closing share price date</t>
  </si>
  <si>
    <t>Current EBITDA multiple</t>
  </si>
  <si>
    <t>Offer value (Equity value)</t>
  </si>
  <si>
    <t>INPUT SHEET</t>
  </si>
  <si>
    <t xml:space="preserve">Revenue growth </t>
  </si>
  <si>
    <t>Market cap</t>
  </si>
  <si>
    <t>Bull case</t>
  </si>
  <si>
    <t>Transaction Financials and Assumptions</t>
  </si>
  <si>
    <t>Bear case</t>
  </si>
  <si>
    <t>Cash</t>
  </si>
  <si>
    <t xml:space="preserve">   #Assuming this cash is contained</t>
  </si>
  <si>
    <t>Enterprise Value</t>
  </si>
  <si>
    <t>Base case:</t>
  </si>
  <si>
    <t>Exit Multiple</t>
  </si>
  <si>
    <t>LTM EBITDA</t>
  </si>
  <si>
    <t>Bull case:</t>
  </si>
  <si>
    <t>Entry Multiple</t>
  </si>
  <si>
    <t>Capital Structure</t>
  </si>
  <si>
    <t>Amount</t>
  </si>
  <si>
    <t>xEBITDA</t>
  </si>
  <si>
    <t>Interest (%)</t>
  </si>
  <si>
    <t>Total debt (%)</t>
  </si>
  <si>
    <t>Term</t>
  </si>
  <si>
    <t>Revolver</t>
  </si>
  <si>
    <t>Senior debt - PLN Term loan A</t>
  </si>
  <si>
    <t>Senior debt - PLN Term loan B</t>
  </si>
  <si>
    <t>Subordinate debt - PLN Second Lien</t>
  </si>
  <si>
    <t>Total</t>
  </si>
  <si>
    <t>Sources and Uses</t>
  </si>
  <si>
    <t>Sources</t>
  </si>
  <si>
    <t>Uses</t>
  </si>
  <si>
    <t>% Capital</t>
  </si>
  <si>
    <t>Equity payment</t>
  </si>
  <si>
    <t>Debt refinancing</t>
  </si>
  <si>
    <t>Transaction fee</t>
  </si>
  <si>
    <t>Financing fees</t>
  </si>
  <si>
    <t>Assuming 2,5% of the equity offer</t>
  </si>
  <si>
    <t>Cash on hand</t>
  </si>
  <si>
    <t>Assuming 2% of the total debt</t>
  </si>
  <si>
    <t>Sponsor equity</t>
  </si>
  <si>
    <t>Financials (Lastest report Q3-2024)</t>
  </si>
  <si>
    <t>Assumptions (blue)</t>
  </si>
  <si>
    <t>2024(E)</t>
  </si>
  <si>
    <t>Averages</t>
  </si>
  <si>
    <t>Tax rate</t>
  </si>
  <si>
    <t>EBITDA Calculation</t>
  </si>
  <si>
    <t>D&amp;A</t>
  </si>
  <si>
    <t xml:space="preserve">See Cash Flow Items below </t>
  </si>
  <si>
    <t>% of sales</t>
  </si>
  <si>
    <t>Operating Model</t>
  </si>
  <si>
    <t>Average</t>
  </si>
  <si>
    <t>COGS</t>
  </si>
  <si>
    <t>OpEx</t>
  </si>
  <si>
    <t>(-) Interest Expense</t>
  </si>
  <si>
    <t>See interest segment below (row 154)</t>
  </si>
  <si>
    <t>Interest Income</t>
  </si>
  <si>
    <t>EBT</t>
  </si>
  <si>
    <t>Change in Net Working Capital</t>
  </si>
  <si>
    <t>CapEx</t>
  </si>
  <si>
    <t>Change in NWC</t>
  </si>
  <si>
    <t>Mandatory Debt Repayments</t>
  </si>
  <si>
    <t>To easier calculate the debt waterfall we use: LFCF - mandatory debt payments</t>
  </si>
  <si>
    <t>Levered Free Cash Flow (Pre-revolver)</t>
  </si>
  <si>
    <t>Basically we assume the FCFE = 0 since we dont have any divident</t>
  </si>
  <si>
    <t>Levered Free Cash Flow (Post-revolver)</t>
  </si>
  <si>
    <t>Debt Schedule</t>
  </si>
  <si>
    <t>Waterfall</t>
  </si>
  <si>
    <t>Debt Paydown</t>
  </si>
  <si>
    <t>2024(LTM)</t>
  </si>
  <si>
    <t>Beginning Balance</t>
  </si>
  <si>
    <t>Inflow / (Outflow)</t>
  </si>
  <si>
    <t>Ending Balance</t>
  </si>
  <si>
    <t>Beginning Cash Balance</t>
  </si>
  <si>
    <t>Minimum Cash</t>
  </si>
  <si>
    <t>Beginning Excess Cash</t>
  </si>
  <si>
    <t>Free Cash Flow Generated</t>
  </si>
  <si>
    <t>Cash Available to Paydown / (Draw From) Revolver</t>
  </si>
  <si>
    <t>Increase / (Decrease)</t>
  </si>
  <si>
    <t>Maximum Availability</t>
  </si>
  <si>
    <t>Paydown</t>
  </si>
  <si>
    <t>Mandatory paydown</t>
  </si>
  <si>
    <t>CHECK</t>
  </si>
  <si>
    <t>Interest</t>
  </si>
  <si>
    <t>Interest income rate</t>
  </si>
  <si>
    <t>Interest rate</t>
  </si>
  <si>
    <t>Irrative calculations are activated since interest affect           NI --&gt; Leveraged FCF --&gt; Debt paydown --&gt; interest</t>
  </si>
  <si>
    <t>Total interest expense</t>
  </si>
  <si>
    <t>Blended interest rate</t>
  </si>
  <si>
    <t>EBITDA at Exit</t>
  </si>
  <si>
    <t>Management Incentive Program (4,5% MIP)</t>
  </si>
  <si>
    <t>Sponsor Equity Value</t>
  </si>
  <si>
    <t>Sponsor Equity at Entry</t>
  </si>
  <si>
    <t>Sensitivity Table</t>
  </si>
  <si>
    <t>IRR</t>
  </si>
  <si>
    <t>Multiple on Invested Capital (MOIC)</t>
  </si>
  <si>
    <t>Exit multiple</t>
  </si>
  <si>
    <t>ICR (EBITDA)</t>
  </si>
  <si>
    <t>Premium</t>
  </si>
  <si>
    <t>Polish 10 Year Government Bond</t>
  </si>
  <si>
    <t>Cost of Debt</t>
  </si>
  <si>
    <t>1.</t>
  </si>
  <si>
    <t>Interest coverage</t>
  </si>
  <si>
    <t>Risk premium</t>
  </si>
  <si>
    <t xml:space="preserve">December  </t>
  </si>
  <si>
    <t>Long Term risk free rate</t>
  </si>
  <si>
    <t>&lt;0,5</t>
  </si>
  <si>
    <t xml:space="preserve">November  </t>
  </si>
  <si>
    <t xml:space="preserve">October  </t>
  </si>
  <si>
    <t xml:space="preserve">September  </t>
  </si>
  <si>
    <t>Interest costs</t>
  </si>
  <si>
    <t xml:space="preserve">August  </t>
  </si>
  <si>
    <t>Interest coverage ratio</t>
  </si>
  <si>
    <t xml:space="preserve">July  </t>
  </si>
  <si>
    <t>Spread (Risk premium)</t>
  </si>
  <si>
    <t xml:space="preserve">June  </t>
  </si>
  <si>
    <t xml:space="preserve">May  </t>
  </si>
  <si>
    <t>Cost of Debt before Tax</t>
  </si>
  <si>
    <t xml:space="preserve">April  </t>
  </si>
  <si>
    <t xml:space="preserve">March  </t>
  </si>
  <si>
    <t xml:space="preserve">February  </t>
  </si>
  <si>
    <t>Cost of Debt after Tax</t>
  </si>
  <si>
    <t xml:space="preserve">January  </t>
  </si>
  <si>
    <t>Cost of Equity</t>
  </si>
  <si>
    <t>capm</t>
  </si>
  <si>
    <t>Beta</t>
  </si>
  <si>
    <t>Source: Aswath Damodaran</t>
  </si>
  <si>
    <t>Expected return</t>
  </si>
  <si>
    <t>MRP</t>
  </si>
  <si>
    <t>WACC</t>
  </si>
  <si>
    <t>% av EV</t>
  </si>
  <si>
    <t>Warsaw Stock Exchange WIG, 20 years</t>
  </si>
  <si>
    <t>Date</t>
  </si>
  <si>
    <t>Closeprice</t>
  </si>
  <si>
    <t>12/01/2024</t>
  </si>
  <si>
    <t>10 years average return:</t>
  </si>
  <si>
    <t>11/01/2024</t>
  </si>
  <si>
    <t>10/01/2024</t>
  </si>
  <si>
    <t>09/01/2024</t>
  </si>
  <si>
    <t>MSCI World 10 years average return:</t>
  </si>
  <si>
    <t>08/01/2024</t>
  </si>
  <si>
    <t>10 years CAGR return:</t>
  </si>
  <si>
    <t>07/01/2024</t>
  </si>
  <si>
    <t>06/01/2024</t>
  </si>
  <si>
    <t xml:space="preserve">Source: </t>
  </si>
  <si>
    <t>https://www.msci.com/documents/10199/178e6643-6ae6-47b9-82be-e1fc565ededb</t>
  </si>
  <si>
    <t>05/01/2024</t>
  </si>
  <si>
    <t>04/01/2024</t>
  </si>
  <si>
    <t>20 years CAGR return:</t>
  </si>
  <si>
    <t xml:space="preserve">https://www.gpw.pl/gpw-key-statistics </t>
  </si>
  <si>
    <t>03/01/2024</t>
  </si>
  <si>
    <t>02/01/2024</t>
  </si>
  <si>
    <t>01/01/2024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</si>
  <si>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</si>
  <si>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</si>
  <si>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</si>
  <si>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</si>
  <si>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</si>
  <si>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</si>
  <si>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</si>
  <si>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</si>
  <si>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</si>
  <si>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</si>
  <si>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</si>
  <si>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</si>
  <si>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</si>
  <si>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</si>
  <si>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</si>
  <si>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</si>
  <si>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</si>
  <si>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</si>
  <si>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</si>
  <si>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</si>
  <si>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</si>
  <si>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</si>
  <si>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</si>
  <si>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</si>
  <si>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</si>
  <si>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</si>
  <si>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</si>
  <si>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</si>
  <si>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</si>
  <si>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</si>
  <si>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</si>
  <si>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</si>
  <si>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</si>
  <si>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</si>
  <si>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</si>
  <si>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</si>
  <si>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</si>
  <si>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</si>
  <si>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</si>
  <si>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</si>
  <si>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</si>
  <si>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</si>
  <si>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</si>
  <si>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</si>
  <si>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</si>
  <si>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</si>
  <si>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</si>
  <si>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</si>
  <si>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</si>
  <si>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</si>
  <si>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</si>
  <si>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</si>
  <si>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</si>
  <si>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</si>
  <si>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</si>
  <si>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</si>
  <si>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</si>
  <si>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</si>
  <si>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</si>
  <si>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</si>
  <si>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</si>
  <si>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</si>
  <si>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</si>
  <si>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</si>
  <si>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</si>
  <si>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</si>
  <si>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</si>
  <si>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</si>
  <si>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</si>
  <si>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</si>
  <si>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</si>
  <si>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</si>
  <si>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</si>
  <si>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</si>
  <si>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</si>
  <si>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</si>
  <si>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</si>
  <si>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</si>
  <si>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</si>
  <si>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</si>
  <si>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</si>
  <si>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</si>
  <si>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</si>
  <si>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</si>
  <si>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</si>
  <si>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</si>
  <si>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</si>
  <si>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</si>
  <si>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</si>
  <si>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</si>
  <si>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</si>
  <si>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</si>
  <si>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</si>
  <si>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</si>
  <si>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</si>
  <si>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</si>
  <si>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</si>
  <si>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</si>
  <si>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</si>
  <si>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</si>
  <si>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</si>
  <si>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</si>
  <si>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</si>
  <si>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</si>
  <si>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</si>
  <si>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</si>
  <si>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</si>
  <si>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</si>
  <si>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</si>
  <si>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</si>
  <si>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</si>
  <si>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</si>
  <si>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</si>
  <si>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</si>
  <si>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</si>
  <si>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</si>
  <si>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</si>
  <si>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</si>
  <si>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</si>
  <si>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</si>
  <si>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10 years</t>
  </si>
  <si>
    <t>Warsaw Stock Exchange WIG</t>
  </si>
  <si>
    <t>Log return</t>
  </si>
  <si>
    <t>03/20/2025</t>
  </si>
  <si>
    <t>03/19/2025</t>
  </si>
  <si>
    <t>Beta:</t>
  </si>
  <si>
    <t>03/18/2025</t>
  </si>
  <si>
    <t>03/17/2025</t>
  </si>
  <si>
    <t>03/14/2025</t>
  </si>
  <si>
    <t>03/13/2025</t>
  </si>
  <si>
    <t>SUMMARY OUTPUT</t>
  </si>
  <si>
    <t>03/12/2025</t>
  </si>
  <si>
    <t>03/11/2025</t>
  </si>
  <si>
    <t>Regression Statistics</t>
  </si>
  <si>
    <t>03/10/2025</t>
  </si>
  <si>
    <t>Multiple R</t>
  </si>
  <si>
    <t>03/07/2025</t>
  </si>
  <si>
    <t>R Square</t>
  </si>
  <si>
    <t>03/06/2025</t>
  </si>
  <si>
    <t>Adjusted R Square</t>
  </si>
  <si>
    <t>03/05/2025</t>
  </si>
  <si>
    <t>Standard Error</t>
  </si>
  <si>
    <t>03/04/2025</t>
  </si>
  <si>
    <t>Observations</t>
  </si>
  <si>
    <t>03/03/2025</t>
  </si>
  <si>
    <t>02/28/2025</t>
  </si>
  <si>
    <t>ANOVA</t>
  </si>
  <si>
    <t>02/27/2025</t>
  </si>
  <si>
    <t>df</t>
  </si>
  <si>
    <t>SS</t>
  </si>
  <si>
    <t>MS</t>
  </si>
  <si>
    <t>F</t>
  </si>
  <si>
    <t>Significance F</t>
  </si>
  <si>
    <t>02/26/2025</t>
  </si>
  <si>
    <t>Regression</t>
  </si>
  <si>
    <t>02/25/2025</t>
  </si>
  <si>
    <t>Residual</t>
  </si>
  <si>
    <t>02/24/2025</t>
  </si>
  <si>
    <t>02/21/2025</t>
  </si>
  <si>
    <t>02/20/2025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</si>
  <si>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</si>
  <si>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</si>
  <si>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</si>
  <si>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</si>
  <si>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</si>
  <si>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</si>
  <si>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</si>
  <si>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02/19/2025</t>
  </si>
  <si>
    <t>Intercept</t>
  </si>
  <si>
    <t>02/18/2025</t>
  </si>
  <si>
    <t>X Variable 1</t>
  </si>
  <si>
    <t>02/17/2025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</si>
  <si>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</si>
  <si>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</si>
  <si>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</si>
  <si>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</si>
  <si>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</si>
  <si>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</si>
  <si>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</si>
  <si>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</si>
  <si>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</si>
  <si>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</si>
  <si>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</si>
  <si>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</si>
  <si>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</si>
  <si>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</si>
  <si>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</si>
  <si>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</si>
  <si>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</si>
  <si>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</si>
  <si>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</si>
  <si>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</si>
  <si>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</si>
  <si>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</si>
  <si>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</si>
  <si>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</si>
  <si>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</si>
  <si>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</si>
  <si>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</si>
  <si>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</si>
  <si>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</si>
  <si>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01/03/2025</t>
  </si>
  <si>
    <t>01/02/2025</t>
  </si>
  <si>
    <t>12/30/2024</t>
  </si>
  <si>
    <t>12/27/2024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</si>
  <si>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</si>
  <si>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</si>
  <si>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</si>
  <si>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</si>
  <si>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</si>
  <si>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</si>
  <si>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</si>
  <si>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</si>
  <si>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</si>
  <si>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</si>
  <si>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</si>
  <si>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</si>
  <si>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</si>
  <si>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</si>
  <si>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</si>
  <si>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</si>
  <si>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</si>
  <si>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</si>
  <si>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</si>
  <si>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</si>
  <si>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</si>
  <si>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</si>
  <si>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</si>
  <si>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</si>
  <si>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</si>
  <si>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</si>
  <si>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</si>
  <si>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</si>
  <si>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</si>
  <si>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</si>
  <si>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</si>
  <si>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</si>
  <si>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</si>
  <si>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</si>
  <si>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</si>
  <si>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</si>
  <si>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</si>
  <si>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</si>
  <si>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</si>
  <si>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</si>
  <si>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</si>
  <si>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</si>
  <si>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</si>
  <si>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</si>
  <si>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</si>
  <si>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</si>
  <si>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</si>
  <si>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</si>
  <si>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</si>
  <si>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</si>
  <si>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</si>
  <si>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</si>
  <si>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</si>
  <si>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</si>
  <si>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</si>
  <si>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</si>
  <si>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</si>
  <si>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</si>
  <si>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</si>
  <si>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</si>
  <si>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</si>
  <si>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</si>
  <si>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</si>
  <si>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</si>
  <si>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</si>
  <si>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</si>
  <si>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</si>
  <si>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</si>
  <si>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</si>
  <si>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</si>
  <si>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</si>
  <si>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</si>
  <si>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</si>
  <si>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</si>
  <si>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</si>
  <si>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</si>
  <si>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</si>
  <si>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09/02/2024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</si>
  <si>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</si>
  <si>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</si>
  <si>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</si>
  <si>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</si>
  <si>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</si>
  <si>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</si>
  <si>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</si>
  <si>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</si>
  <si>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</si>
  <si>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</si>
  <si>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</si>
  <si>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</si>
  <si>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</si>
  <si>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</si>
  <si>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</si>
  <si>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</si>
  <si>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</si>
  <si>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</si>
  <si>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</si>
  <si>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</si>
  <si>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</si>
  <si>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</si>
  <si>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</si>
  <si>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</si>
  <si>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</si>
  <si>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</si>
  <si>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</si>
  <si>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</si>
  <si>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</si>
  <si>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</si>
  <si>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</si>
  <si>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</si>
  <si>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</si>
  <si>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</si>
  <si>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</si>
  <si>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</si>
  <si>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</si>
  <si>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</si>
  <si>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</si>
  <si>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07/04/2024</t>
  </si>
  <si>
    <t>07/03/2024</t>
  </si>
  <si>
    <t>07/02/2024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</si>
  <si>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</si>
  <si>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</si>
  <si>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</si>
  <si>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</si>
  <si>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</si>
  <si>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</si>
  <si>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</si>
  <si>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</si>
  <si>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</si>
  <si>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</si>
  <si>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</si>
  <si>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</si>
  <si>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</si>
  <si>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</si>
  <si>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</si>
  <si>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</si>
  <si>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</si>
  <si>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</si>
  <si>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</si>
  <si>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</si>
  <si>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</si>
  <si>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</si>
  <si>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</si>
  <si>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</si>
  <si>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</si>
  <si>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</si>
  <si>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</si>
  <si>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</si>
  <si>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</si>
  <si>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</si>
  <si>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</si>
  <si>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</si>
  <si>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</si>
  <si>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</si>
  <si>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</si>
  <si>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</si>
  <si>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</si>
  <si>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</si>
  <si>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</si>
  <si>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05/02/2024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</si>
  <si>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</si>
  <si>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</si>
  <si>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</si>
  <si>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</si>
  <si>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</si>
  <si>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</si>
  <si>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</si>
  <si>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</si>
  <si>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</si>
  <si>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</si>
  <si>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</si>
  <si>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</si>
  <si>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</si>
  <si>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</si>
  <si>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</si>
  <si>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</si>
  <si>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</si>
  <si>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</si>
  <si>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</si>
  <si>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</si>
  <si>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</si>
  <si>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</si>
  <si>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</si>
  <si>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</si>
  <si>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</si>
  <si>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</si>
  <si>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</si>
  <si>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</si>
  <si>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</si>
  <si>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</si>
  <si>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</si>
  <si>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</si>
  <si>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</si>
  <si>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</si>
  <si>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</si>
  <si>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</si>
  <si>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</si>
  <si>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</si>
  <si>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</si>
  <si>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</si>
  <si>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</si>
  <si>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</si>
  <si>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</si>
  <si>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</si>
  <si>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</si>
  <si>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</si>
  <si>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</si>
  <si>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</si>
  <si>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</si>
  <si>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</si>
  <si>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</si>
  <si>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</si>
  <si>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</si>
  <si>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</si>
  <si>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</si>
  <si>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</si>
  <si>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</si>
  <si>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</si>
  <si>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</si>
  <si>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</si>
  <si>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</si>
  <si>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</si>
  <si>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</si>
  <si>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</si>
  <si>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</si>
  <si>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</si>
  <si>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</si>
  <si>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</si>
  <si>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</si>
  <si>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</si>
  <si>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</si>
  <si>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</si>
  <si>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</si>
  <si>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</si>
  <si>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</si>
  <si>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</si>
  <si>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</si>
  <si>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</si>
  <si>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</si>
  <si>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</si>
  <si>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</si>
  <si>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</si>
  <si>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</si>
  <si>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</si>
  <si>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</si>
  <si>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</si>
  <si>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</si>
  <si>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</si>
  <si>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</si>
  <si>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</si>
  <si>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</si>
  <si>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</si>
  <si>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</si>
  <si>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</si>
  <si>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</si>
  <si>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</si>
  <si>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</si>
  <si>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</si>
  <si>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</si>
  <si>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</si>
  <si>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</si>
  <si>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</si>
  <si>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</si>
  <si>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</si>
  <si>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</si>
  <si>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</si>
  <si>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</si>
  <si>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</si>
  <si>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</si>
  <si>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</si>
  <si>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</si>
  <si>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</si>
  <si>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</si>
  <si>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</si>
  <si>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</si>
  <si>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</si>
  <si>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</si>
  <si>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</si>
  <si>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</si>
  <si>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</si>
  <si>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</si>
  <si>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</si>
  <si>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</si>
  <si>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</si>
  <si>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</si>
  <si>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</si>
  <si>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</si>
  <si>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</si>
  <si>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</si>
  <si>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</si>
  <si>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</si>
  <si>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</si>
  <si>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</si>
  <si>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</si>
  <si>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</si>
  <si>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</si>
  <si>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</si>
  <si>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</si>
  <si>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</si>
  <si>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</si>
  <si>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</si>
  <si>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</si>
  <si>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</si>
  <si>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</si>
  <si>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</si>
  <si>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</si>
  <si>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</si>
  <si>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</si>
  <si>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</si>
  <si>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</si>
  <si>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</si>
  <si>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</si>
  <si>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</si>
  <si>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</si>
  <si>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</si>
  <si>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</si>
  <si>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</si>
  <si>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</si>
  <si>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</si>
  <si>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</si>
  <si>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</si>
  <si>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</si>
  <si>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09/04/2023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</si>
  <si>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</si>
  <si>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</si>
  <si>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</si>
  <si>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</si>
  <si>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</si>
  <si>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</si>
  <si>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</si>
  <si>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</si>
  <si>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</si>
  <si>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</si>
  <si>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</si>
  <si>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</si>
  <si>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</si>
  <si>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</si>
  <si>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</si>
  <si>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</si>
  <si>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</si>
  <si>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</si>
  <si>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</si>
  <si>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</si>
  <si>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</si>
  <si>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</si>
  <si>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</si>
  <si>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</si>
  <si>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</si>
  <si>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</si>
  <si>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</si>
  <si>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</si>
  <si>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</si>
  <si>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</si>
  <si>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</si>
  <si>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</si>
  <si>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</si>
  <si>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</si>
  <si>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</si>
  <si>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</si>
  <si>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</si>
  <si>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</si>
  <si>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</si>
  <si>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</si>
  <si>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</si>
  <si>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</si>
  <si>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</si>
  <si>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</si>
  <si>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</si>
  <si>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</si>
  <si>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</si>
  <si>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</si>
  <si>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</si>
  <si>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</si>
  <si>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</si>
  <si>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</si>
  <si>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</si>
  <si>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</si>
  <si>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</si>
  <si>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</si>
  <si>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</si>
  <si>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</si>
  <si>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06/07/2023</t>
  </si>
  <si>
    <t>06/06/2023</t>
  </si>
  <si>
    <t>06/05/2023</t>
  </si>
  <si>
    <t>06/02/2023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</si>
  <si>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</si>
  <si>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</si>
  <si>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</si>
  <si>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</si>
  <si>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</si>
  <si>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</si>
  <si>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</si>
  <si>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</si>
  <si>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</si>
  <si>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</si>
  <si>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</si>
  <si>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</si>
  <si>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</si>
  <si>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</si>
  <si>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</si>
  <si>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</si>
  <si>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</si>
  <si>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</si>
  <si>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</si>
  <si>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</si>
  <si>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05/02/2023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</si>
  <si>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</si>
  <si>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</si>
  <si>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</si>
  <si>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</si>
  <si>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</si>
  <si>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</si>
  <si>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</si>
  <si>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</si>
  <si>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</si>
  <si>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</si>
  <si>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</si>
  <si>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</si>
  <si>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</si>
  <si>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</si>
  <si>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</si>
  <si>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</si>
  <si>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</si>
  <si>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</si>
  <si>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</si>
  <si>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</si>
  <si>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</si>
  <si>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</si>
  <si>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</si>
  <si>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</si>
  <si>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</si>
  <si>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</si>
  <si>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</si>
  <si>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</si>
  <si>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</si>
  <si>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</si>
  <si>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</si>
  <si>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</si>
  <si>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</si>
  <si>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</si>
  <si>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</si>
  <si>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</si>
  <si>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</si>
  <si>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</si>
  <si>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</si>
  <si>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</si>
  <si>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</si>
  <si>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</si>
  <si>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</si>
  <si>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</si>
  <si>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</si>
  <si>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</si>
  <si>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</si>
  <si>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</si>
  <si>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</si>
  <si>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</si>
  <si>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</si>
  <si>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</si>
  <si>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</si>
  <si>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</si>
  <si>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</si>
  <si>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</si>
  <si>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</si>
  <si>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</si>
  <si>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</si>
  <si>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</si>
  <si>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</si>
  <si>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</si>
  <si>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</si>
  <si>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</si>
  <si>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</si>
  <si>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</si>
  <si>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</si>
  <si>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</si>
  <si>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</si>
  <si>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</si>
  <si>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</si>
  <si>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</si>
  <si>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</si>
  <si>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</si>
  <si>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</si>
  <si>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01/09/2023</t>
  </si>
  <si>
    <t>01/05/2023</t>
  </si>
  <si>
    <t>01/04/2023</t>
  </si>
  <si>
    <t>01/03/2023</t>
  </si>
  <si>
    <t>01/02/2023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</si>
  <si>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</si>
  <si>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</si>
  <si>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</si>
  <si>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</si>
  <si>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</si>
  <si>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</si>
  <si>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</si>
  <si>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</si>
  <si>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</si>
  <si>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</si>
  <si>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</si>
  <si>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</si>
  <si>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</si>
  <si>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</si>
  <si>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</si>
  <si>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</si>
  <si>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</si>
  <si>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</si>
  <si>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</si>
  <si>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</si>
  <si>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</si>
  <si>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</si>
  <si>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</si>
  <si>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</si>
  <si>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</si>
  <si>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</si>
  <si>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</si>
  <si>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</si>
  <si>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</si>
  <si>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</si>
  <si>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</si>
  <si>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</si>
  <si>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</si>
  <si>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</si>
  <si>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</si>
  <si>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</si>
  <si>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</si>
  <si>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</si>
  <si>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</si>
  <si>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</si>
  <si>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</si>
  <si>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</si>
  <si>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</si>
  <si>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</si>
  <si>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</si>
  <si>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</si>
  <si>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</si>
  <si>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</si>
  <si>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</si>
  <si>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</si>
  <si>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</si>
  <si>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</si>
  <si>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</si>
  <si>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</si>
  <si>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</si>
  <si>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</si>
  <si>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</si>
  <si>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</si>
  <si>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</si>
  <si>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</si>
  <si>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</si>
  <si>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</si>
  <si>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</si>
  <si>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</si>
  <si>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</si>
  <si>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</si>
  <si>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</si>
  <si>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</si>
  <si>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</si>
  <si>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</si>
  <si>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</si>
  <si>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</si>
  <si>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</si>
  <si>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</si>
  <si>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</si>
  <si>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</si>
  <si>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</si>
  <si>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</si>
  <si>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</si>
  <si>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</si>
  <si>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09/05/2022</t>
  </si>
  <si>
    <t>09/02/2022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</si>
  <si>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</si>
  <si>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</si>
  <si>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</si>
  <si>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</si>
  <si>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</si>
  <si>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</si>
  <si>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</si>
  <si>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</si>
  <si>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</si>
  <si>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</si>
  <si>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</si>
  <si>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</si>
  <si>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</si>
  <si>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</si>
  <si>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</si>
  <si>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</si>
  <si>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</si>
  <si>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</si>
  <si>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</si>
  <si>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</si>
  <si>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</si>
  <si>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</si>
  <si>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</si>
  <si>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</si>
  <si>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</si>
  <si>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</si>
  <si>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</si>
  <si>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</si>
  <si>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</si>
  <si>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</si>
  <si>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</si>
  <si>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</si>
  <si>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</si>
  <si>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</si>
  <si>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</si>
  <si>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</si>
  <si>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</si>
  <si>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</si>
  <si>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</si>
  <si>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</si>
  <si>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</si>
  <si>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</si>
  <si>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</si>
  <si>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</si>
  <si>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</si>
  <si>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</si>
  <si>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</si>
  <si>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</si>
  <si>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</si>
  <si>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</si>
  <si>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</si>
  <si>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</si>
  <si>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</si>
  <si>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</si>
  <si>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</si>
  <si>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</si>
  <si>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</si>
  <si>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</si>
  <si>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</si>
  <si>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</si>
  <si>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</si>
  <si>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</si>
  <si>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</si>
  <si>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</si>
  <si>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</si>
  <si>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</si>
  <si>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</si>
  <si>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</si>
  <si>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</si>
  <si>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</si>
  <si>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</si>
  <si>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</si>
  <si>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</si>
  <si>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</si>
  <si>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</si>
  <si>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</si>
  <si>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</si>
  <si>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</si>
  <si>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</si>
  <si>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</si>
  <si>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</si>
  <si>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</si>
  <si>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</si>
  <si>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</si>
  <si>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</si>
  <si>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</si>
  <si>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</si>
  <si>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</si>
  <si>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</si>
  <si>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</si>
  <si>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</si>
  <si>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</si>
  <si>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</si>
  <si>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</si>
  <si>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</si>
  <si>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</si>
  <si>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</si>
  <si>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</si>
  <si>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</si>
  <si>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</si>
  <si>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</si>
  <si>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</si>
  <si>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</si>
  <si>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</si>
  <si>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</si>
  <si>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</si>
  <si>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</si>
  <si>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</si>
  <si>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</si>
  <si>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</si>
  <si>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</si>
  <si>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</si>
  <si>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</si>
  <si>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</si>
  <si>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</si>
  <si>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</si>
  <si>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</si>
  <si>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</si>
  <si>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</si>
  <si>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</si>
  <si>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</si>
  <si>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</si>
  <si>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</si>
  <si>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</si>
  <si>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</si>
  <si>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</si>
  <si>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</si>
  <si>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</si>
  <si>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</si>
  <si>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</si>
  <si>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</si>
  <si>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</si>
  <si>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</si>
  <si>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</si>
  <si>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</si>
  <si>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</si>
  <si>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</si>
  <si>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</si>
  <si>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</si>
  <si>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</si>
  <si>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</si>
  <si>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</si>
  <si>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</si>
  <si>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</si>
  <si>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</si>
  <si>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</si>
  <si>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</si>
  <si>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</si>
  <si>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</si>
  <si>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</si>
  <si>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</si>
  <si>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</si>
  <si>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</si>
  <si>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</si>
  <si>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</si>
  <si>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</si>
  <si>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01/10/2022</t>
  </si>
  <si>
    <t>01/07/2022</t>
  </si>
  <si>
    <t>01/05/2022</t>
  </si>
  <si>
    <t>01/04/2022</t>
  </si>
  <si>
    <t>01/03/2022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</si>
  <si>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</si>
  <si>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</si>
  <si>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</si>
  <si>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</si>
  <si>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</si>
  <si>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</si>
  <si>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</si>
  <si>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</si>
  <si>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</si>
  <si>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</si>
  <si>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</si>
  <si>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</si>
  <si>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</si>
  <si>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</si>
  <si>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</si>
  <si>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</si>
  <si>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</si>
  <si>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</si>
  <si>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</si>
  <si>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</si>
  <si>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</si>
  <si>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</si>
  <si>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</si>
  <si>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</si>
  <si>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</si>
  <si>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</si>
  <si>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</si>
  <si>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</si>
  <si>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</si>
  <si>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</si>
  <si>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</si>
  <si>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</si>
  <si>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</si>
  <si>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</si>
  <si>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</si>
  <si>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</si>
  <si>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</si>
  <si>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</si>
  <si>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</si>
  <si>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</si>
  <si>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</si>
  <si>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</si>
  <si>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</si>
  <si>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</si>
  <si>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</si>
  <si>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</si>
  <si>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</si>
  <si>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</si>
  <si>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</si>
  <si>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</si>
  <si>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</si>
  <si>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</si>
  <si>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</si>
  <si>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</si>
  <si>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</si>
  <si>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</si>
  <si>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</si>
  <si>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</si>
  <si>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</si>
  <si>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</si>
  <si>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</si>
  <si>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</si>
  <si>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</si>
  <si>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</si>
  <si>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</si>
  <si>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</si>
  <si>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</si>
  <si>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</si>
  <si>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</si>
  <si>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</si>
  <si>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</si>
  <si>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</si>
  <si>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</si>
  <si>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</si>
  <si>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</si>
  <si>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</si>
  <si>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</si>
  <si>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</si>
  <si>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</si>
  <si>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</si>
  <si>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</si>
  <si>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</si>
  <si>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</si>
  <si>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</si>
  <si>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</si>
  <si>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</si>
  <si>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</si>
  <si>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</si>
  <si>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</si>
  <si>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</si>
  <si>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</si>
  <si>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</si>
  <si>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</si>
  <si>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</si>
  <si>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</si>
  <si>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</si>
  <si>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</si>
  <si>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</si>
  <si>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</si>
  <si>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</si>
  <si>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</si>
  <si>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</si>
  <si>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</si>
  <si>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</si>
  <si>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</si>
  <si>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</si>
  <si>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</si>
  <si>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</si>
  <si>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</si>
  <si>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</si>
  <si>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</si>
  <si>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</si>
  <si>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</si>
  <si>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</si>
  <si>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</si>
  <si>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</si>
  <si>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</si>
  <si>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</si>
  <si>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</si>
  <si>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</si>
  <si>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</si>
  <si>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</si>
  <si>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</si>
  <si>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</si>
  <si>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</si>
  <si>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</si>
  <si>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</si>
  <si>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</si>
  <si>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</si>
  <si>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</si>
  <si>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</si>
  <si>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</si>
  <si>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</si>
  <si>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</si>
  <si>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</si>
  <si>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</si>
  <si>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</si>
  <si>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</si>
  <si>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</si>
  <si>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</si>
  <si>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</si>
  <si>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</si>
  <si>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</si>
  <si>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06/02/2021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</si>
  <si>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</si>
  <si>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</si>
  <si>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</si>
  <si>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</si>
  <si>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</si>
  <si>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</si>
  <si>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</si>
  <si>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</si>
  <si>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</si>
  <si>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</si>
  <si>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</si>
  <si>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</si>
  <si>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</si>
  <si>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</si>
  <si>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</si>
  <si>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</si>
  <si>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</si>
  <si>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</si>
  <si>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</si>
  <si>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</si>
  <si>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</si>
  <si>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</si>
  <si>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</si>
  <si>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</si>
  <si>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</si>
  <si>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</si>
  <si>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</si>
  <si>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</si>
  <si>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</si>
  <si>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</si>
  <si>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</si>
  <si>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</si>
  <si>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</si>
  <si>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</si>
  <si>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</si>
  <si>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</si>
  <si>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</si>
  <si>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</si>
  <si>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</si>
  <si>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</si>
  <si>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</si>
  <si>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</si>
  <si>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</si>
  <si>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</si>
  <si>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</si>
  <si>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</si>
  <si>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</si>
  <si>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</si>
  <si>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</si>
  <si>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</si>
  <si>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</si>
  <si>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</si>
  <si>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</si>
  <si>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</si>
  <si>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</si>
  <si>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</si>
  <si>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</si>
  <si>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</si>
  <si>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</si>
  <si>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</si>
  <si>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</si>
  <si>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</si>
  <si>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</si>
  <si>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</si>
  <si>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</si>
  <si>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</si>
  <si>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</si>
  <si>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</si>
  <si>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</si>
  <si>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</si>
  <si>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</si>
  <si>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</si>
  <si>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</si>
  <si>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</si>
  <si>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</si>
  <si>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</si>
  <si>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</si>
  <si>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</si>
  <si>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</si>
  <si>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</si>
  <si>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</si>
  <si>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</si>
  <si>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</si>
  <si>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</si>
  <si>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</si>
  <si>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</si>
  <si>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</si>
  <si>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</si>
  <si>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</si>
  <si>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</si>
  <si>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</si>
  <si>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</si>
  <si>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</si>
  <si>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</si>
  <si>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</si>
  <si>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</si>
  <si>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</si>
  <si>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01/05/2021</t>
  </si>
  <si>
    <t>01/04/2021</t>
  </si>
  <si>
    <t>12/30/2020</t>
  </si>
  <si>
    <t>12/29/2020</t>
  </si>
  <si>
    <t>12/28/2020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</si>
  <si>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</si>
  <si>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</si>
  <si>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</si>
  <si>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</si>
  <si>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</si>
  <si>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</si>
  <si>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</si>
  <si>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</si>
  <si>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</si>
  <si>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</si>
  <si>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</si>
  <si>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</si>
  <si>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</si>
  <si>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</si>
  <si>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</si>
  <si>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</si>
  <si>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</si>
  <si>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</si>
  <si>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</si>
  <si>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</si>
  <si>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</si>
  <si>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</si>
  <si>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</si>
  <si>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</si>
  <si>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</si>
  <si>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</si>
  <si>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</si>
  <si>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</si>
  <si>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</si>
  <si>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</si>
  <si>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</si>
  <si>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</si>
  <si>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</si>
  <si>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</si>
  <si>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</si>
  <si>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</si>
  <si>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</si>
  <si>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</si>
  <si>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</si>
  <si>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</si>
  <si>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</si>
  <si>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</si>
  <si>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</si>
  <si>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</si>
  <si>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</si>
  <si>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</si>
  <si>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</si>
  <si>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</si>
  <si>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</si>
  <si>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</si>
  <si>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</si>
  <si>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</si>
  <si>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</si>
  <si>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</si>
  <si>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</si>
  <si>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</si>
  <si>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</si>
  <si>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</si>
  <si>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</si>
  <si>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</si>
  <si>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</si>
  <si>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</si>
  <si>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</si>
  <si>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</si>
  <si>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</si>
  <si>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</si>
  <si>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</si>
  <si>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</si>
  <si>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09/10/2020</t>
  </si>
  <si>
    <t>09/09/2020</t>
  </si>
  <si>
    <t>09/08/2020</t>
  </si>
  <si>
    <t>09/07/2020</t>
  </si>
  <si>
    <t>09/04/2020</t>
  </si>
  <si>
    <t>09/03/2020</t>
  </si>
  <si>
    <t>09/02/2020</t>
  </si>
  <si>
    <t>08/31/2020</t>
  </si>
  <si>
    <t>08/28/2020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</si>
  <si>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</si>
  <si>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</si>
  <si>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</si>
  <si>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</si>
  <si>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</si>
  <si>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</si>
  <si>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</si>
  <si>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</si>
  <si>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</si>
  <si>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</si>
  <si>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</si>
  <si>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</si>
  <si>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</si>
  <si>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</si>
  <si>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</si>
  <si>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</si>
  <si>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</si>
  <si>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</si>
  <si>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</si>
  <si>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</si>
  <si>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</si>
  <si>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</si>
  <si>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</si>
  <si>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</si>
  <si>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</si>
  <si>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</si>
  <si>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</si>
  <si>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</si>
  <si>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</si>
  <si>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</si>
  <si>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</si>
  <si>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</si>
  <si>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</si>
  <si>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</si>
  <si>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</si>
  <si>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</si>
  <si>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</si>
  <si>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</si>
  <si>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</si>
  <si>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</si>
  <si>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</si>
  <si>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</si>
  <si>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</si>
  <si>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</si>
  <si>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</si>
  <si>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</si>
  <si>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</si>
  <si>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</si>
  <si>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</si>
  <si>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</si>
  <si>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</si>
  <si>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</si>
  <si>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</si>
  <si>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</si>
  <si>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</si>
  <si>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</si>
  <si>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</si>
  <si>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</si>
  <si>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</si>
  <si>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</si>
  <si>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</si>
  <si>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</si>
  <si>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</si>
  <si>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</si>
  <si>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</si>
  <si>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</si>
  <si>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</si>
  <si>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</si>
  <si>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</si>
  <si>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</si>
  <si>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</si>
  <si>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</si>
  <si>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</si>
  <si>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</si>
  <si>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</si>
  <si>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</si>
  <si>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</si>
  <si>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</si>
  <si>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</si>
  <si>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</si>
  <si>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04/30/2020</t>
  </si>
  <si>
    <t>04/29/2020</t>
  </si>
  <si>
    <t>04/28/2020</t>
  </si>
  <si>
    <t>04/27/2020</t>
  </si>
  <si>
    <t>04/24/2020</t>
  </si>
  <si>
    <t>04/22/2020</t>
  </si>
  <si>
    <t>04/21/2020</t>
  </si>
  <si>
    <t>04/20/2020</t>
  </si>
  <si>
    <t>04/15/2020</t>
  </si>
  <si>
    <t>04/14/2020</t>
  </si>
  <si>
    <t>04/09/2020</t>
  </si>
  <si>
    <t>04/08/2020</t>
  </si>
  <si>
    <t>04/07/2020</t>
  </si>
  <si>
    <t>04/06/2020</t>
  </si>
  <si>
    <t>04/03/2020</t>
  </si>
  <si>
    <t>04/02/2020</t>
  </si>
  <si>
    <t>03/31/2020</t>
  </si>
  <si>
    <t>03/30/2020</t>
  </si>
  <si>
    <t>03/27/2020</t>
  </si>
  <si>
    <t>03/26/2020</t>
  </si>
  <si>
    <t>03/25/2020</t>
  </si>
  <si>
    <t>03/20/2020</t>
  </si>
  <si>
    <t>03/19/2020</t>
  </si>
  <si>
    <t>03/18/2020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</si>
  <si>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</si>
  <si>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</si>
  <si>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</si>
  <si>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</si>
  <si>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</si>
  <si>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</si>
  <si>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</si>
  <si>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</si>
  <si>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</si>
  <si>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</si>
  <si>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</si>
  <si>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</si>
  <si>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</si>
  <si>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</si>
  <si>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</si>
  <si>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</si>
  <si>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</si>
  <si>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</si>
  <si>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</si>
  <si>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</si>
  <si>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</si>
  <si>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</si>
  <si>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</si>
  <si>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02/11/2020</t>
  </si>
  <si>
    <t>02/10/2020</t>
  </si>
  <si>
    <t>02/07/2020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</si>
  <si>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</si>
  <si>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</si>
  <si>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</si>
  <si>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</si>
  <si>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</si>
  <si>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</si>
  <si>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</si>
  <si>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01/22/2020</t>
  </si>
  <si>
    <t>01/21/2020</t>
  </si>
  <si>
    <t>01/20/2020</t>
  </si>
  <si>
    <t>01/17/2020</t>
  </si>
  <si>
    <t>01/16/2020</t>
  </si>
  <si>
    <t>01/15/2020</t>
  </si>
  <si>
    <t>01/13/2020</t>
  </si>
  <si>
    <t>01/09/2020</t>
  </si>
  <si>
    <t>01/08/2020</t>
  </si>
  <si>
    <t>01/02/2020</t>
  </si>
  <si>
    <t>12/20/2019</t>
  </si>
  <si>
    <t>12/18/2019</t>
  </si>
  <si>
    <t>12/13/2019</t>
  </si>
  <si>
    <t>12/12/2019</t>
  </si>
  <si>
    <t>12/11/2019</t>
  </si>
  <si>
    <t>12/10/2019</t>
  </si>
  <si>
    <t>12/03/2019</t>
  </si>
  <si>
    <t>12/02/2019</t>
  </si>
  <si>
    <t>11/29/2019</t>
  </si>
  <si>
    <t>11/28/2019</t>
  </si>
  <si>
    <t>11/27/2019</t>
  </si>
  <si>
    <t>11/25/2019</t>
  </si>
  <si>
    <t>11/22/2019</t>
  </si>
  <si>
    <t>11/20/2019</t>
  </si>
  <si>
    <t>11/19/2019</t>
  </si>
  <si>
    <t>11/13/2019</t>
  </si>
  <si>
    <t>11/12/2019</t>
  </si>
  <si>
    <t>11/08/2019</t>
  </si>
  <si>
    <t>11/07/2019</t>
  </si>
  <si>
    <t>11/05/2019</t>
  </si>
  <si>
    <t>11/04/2019</t>
  </si>
  <si>
    <t>10/31/2019</t>
  </si>
  <si>
    <t>10/30/2019</t>
  </si>
  <si>
    <t>10/29/2019</t>
  </si>
  <si>
    <t>10/28/2019</t>
  </si>
  <si>
    <t>10/25/2019</t>
  </si>
  <si>
    <t>10/24/2019</t>
  </si>
  <si>
    <t>10/22/2019</t>
  </si>
  <si>
    <t>10/21/2019</t>
  </si>
  <si>
    <t>10/11/2019</t>
  </si>
  <si>
    <t>10/09/2019</t>
  </si>
  <si>
    <t>10/08/2019</t>
  </si>
  <si>
    <t>10/07/2019</t>
  </si>
  <si>
    <t>10/03/2019</t>
  </si>
  <si>
    <t>10/02/2019</t>
  </si>
  <si>
    <t>09/27/2019</t>
  </si>
  <si>
    <t>09/25/2019</t>
  </si>
  <si>
    <t>09/20/2019</t>
  </si>
  <si>
    <t>09/12/2019</t>
  </si>
  <si>
    <t>09/11/2019</t>
  </si>
  <si>
    <t>09/10/2019</t>
  </si>
  <si>
    <t>09/06/2019</t>
  </si>
  <si>
    <t>09/05/2019</t>
  </si>
  <si>
    <t>09/04/2019</t>
  </si>
  <si>
    <t>09/03/2019</t>
  </si>
  <si>
    <t>08/30/2019</t>
  </si>
  <si>
    <t>08/29/2019</t>
  </si>
  <si>
    <t>08/21/2019</t>
  </si>
  <si>
    <t>08/20/2019</t>
  </si>
  <si>
    <t>08/16/2019</t>
  </si>
  <si>
    <t>08/14/2019</t>
  </si>
  <si>
    <t>08/07/2019</t>
  </si>
  <si>
    <t>07/31/2019</t>
  </si>
  <si>
    <t>07/29/2019</t>
  </si>
  <si>
    <t>07/26/2019</t>
  </si>
  <si>
    <t>07/24/2019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</si>
  <si>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</si>
  <si>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</si>
  <si>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</si>
  <si>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</si>
  <si>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</si>
  <si>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</si>
  <si>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</si>
  <si>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</si>
  <si>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</si>
  <si>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</si>
  <si>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</si>
  <si>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</si>
  <si>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07/04/2019</t>
  </si>
  <si>
    <t>07/03/2019</t>
  </si>
  <si>
    <t>07/02/2019</t>
  </si>
  <si>
    <t>06/28/2019</t>
  </si>
  <si>
    <t>06/27/2019</t>
  </si>
  <si>
    <t>06/26/2019</t>
  </si>
  <si>
    <t>06/25/2019</t>
  </si>
  <si>
    <t>06/24/2019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</si>
  <si>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</si>
  <si>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</si>
  <si>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</si>
  <si>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</si>
  <si>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</si>
  <si>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</si>
  <si>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</si>
  <si>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</si>
  <si>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</si>
  <si>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</si>
  <si>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</si>
  <si>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</si>
  <si>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</si>
  <si>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05/30/2019</t>
  </si>
  <si>
    <t>05/29/2019</t>
  </si>
  <si>
    <t>05/28/2019</t>
  </si>
  <si>
    <t>05/27/2019</t>
  </si>
  <si>
    <t>05/24/2019</t>
  </si>
  <si>
    <t>05/23/2019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</si>
  <si>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</si>
  <si>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</si>
  <si>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</si>
  <si>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</si>
  <si>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</si>
  <si>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</si>
  <si>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</si>
  <si>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</si>
  <si>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05/07/2019</t>
  </si>
  <si>
    <t>05/06/2019</t>
  </si>
  <si>
    <t>04/29/2019</t>
  </si>
  <si>
    <t>04/26/2019</t>
  </si>
  <si>
    <t>04/25/2019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</si>
  <si>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</si>
  <si>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</si>
  <si>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</si>
  <si>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</si>
  <si>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</si>
  <si>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</si>
  <si>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</si>
  <si>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</si>
  <si>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</si>
  <si>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</si>
  <si>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</si>
  <si>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04/02/2019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</si>
  <si>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</si>
  <si>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</si>
  <si>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</si>
  <si>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</si>
  <si>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</si>
  <si>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</si>
  <si>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</si>
  <si>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</si>
  <si>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</si>
  <si>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</si>
  <si>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</si>
  <si>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03/11/2019</t>
  </si>
  <si>
    <t>03/04/2019</t>
  </si>
  <si>
    <t>02/28/2019</t>
  </si>
  <si>
    <t>02/27/2019</t>
  </si>
  <si>
    <t>02/26/2019</t>
  </si>
  <si>
    <t>02/25/2019</t>
  </si>
  <si>
    <t>02/14/2019</t>
  </si>
  <si>
    <t>02/13/2019</t>
  </si>
  <si>
    <t>02/11/2019</t>
  </si>
  <si>
    <t>02/05/2019</t>
  </si>
  <si>
    <t>01/30/2019</t>
  </si>
  <si>
    <t>01/29/2019</t>
  </si>
  <si>
    <t>01/25/2019</t>
  </si>
  <si>
    <t>01/24/2019</t>
  </si>
  <si>
    <t>01/23/2019</t>
  </si>
  <si>
    <t>01/22/2019</t>
  </si>
  <si>
    <t>01/15/2019</t>
  </si>
  <si>
    <t>12/14/2018</t>
  </si>
  <si>
    <t>12/13/2018</t>
  </si>
  <si>
    <t>12/12/2018</t>
  </si>
  <si>
    <t>12/11/2018</t>
  </si>
  <si>
    <t>12/07/2018</t>
  </si>
  <si>
    <t>12/06/2018</t>
  </si>
  <si>
    <t>12/05/2018</t>
  </si>
  <si>
    <t>12/03/2018</t>
  </si>
  <si>
    <t>11/30/2018</t>
  </si>
  <si>
    <t>11/29/2018</t>
  </si>
  <si>
    <t>11/26/2018</t>
  </si>
  <si>
    <t>11/22/2018</t>
  </si>
  <si>
    <t>11/21/2018</t>
  </si>
  <si>
    <t>11/20/2018</t>
  </si>
  <si>
    <t>11/19/2018</t>
  </si>
  <si>
    <t>11/16/2018</t>
  </si>
  <si>
    <t>11/09/2018</t>
  </si>
  <si>
    <t>11/08/2018</t>
  </si>
  <si>
    <t>11/07/2018</t>
  </si>
  <si>
    <t>11/06/2018</t>
  </si>
  <si>
    <t>11/05/2018</t>
  </si>
  <si>
    <t>11/02/2018</t>
  </si>
  <si>
    <t>10/31/2018</t>
  </si>
  <si>
    <t>10/30/2018</t>
  </si>
  <si>
    <t>10/26/2018</t>
  </si>
  <si>
    <t>10/25/2018</t>
  </si>
  <si>
    <t>10/24/2018</t>
  </si>
  <si>
    <t>10/23/2018</t>
  </si>
  <si>
    <t>10/12/2018</t>
  </si>
  <si>
    <t>10/05/2018</t>
  </si>
  <si>
    <t>09/28/2018</t>
  </si>
  <si>
    <t>09/25/2018</t>
  </si>
  <si>
    <t>09/21/2018</t>
  </si>
  <si>
    <t>09/18/2018</t>
  </si>
  <si>
    <t>09/17/2018</t>
  </si>
  <si>
    <t>09/14/2018</t>
  </si>
  <si>
    <t>09/12/2018</t>
  </si>
  <si>
    <t>09/11/2018</t>
  </si>
  <si>
    <t>09/10/2018</t>
  </si>
  <si>
    <t>09/07/2018</t>
  </si>
  <si>
    <t>09/06/2018</t>
  </si>
  <si>
    <t>08/29/2018</t>
  </si>
  <si>
    <t>08/28/2018</t>
  </si>
  <si>
    <t>08/27/2018</t>
  </si>
  <si>
    <t>08/23/2018</t>
  </si>
  <si>
    <t>08/13/2018</t>
  </si>
  <si>
    <t>08/07/2018</t>
  </si>
  <si>
    <t>08/02/2018</t>
  </si>
  <si>
    <t>07/19/2018</t>
  </si>
  <si>
    <t>07/16/2018</t>
  </si>
  <si>
    <t>07/13/2018</t>
  </si>
  <si>
    <t>07/11/2018</t>
  </si>
  <si>
    <t>07/10/2018</t>
  </si>
  <si>
    <t>07/09/2018</t>
  </si>
  <si>
    <t>07/06/2018</t>
  </si>
  <si>
    <t>07/03/2018</t>
  </si>
  <si>
    <t>07/02/2018</t>
  </si>
  <si>
    <t>06/29/2018</t>
  </si>
  <si>
    <t>06/20/2018</t>
  </si>
  <si>
    <t>06/18/2018</t>
  </si>
  <si>
    <t>06/14/2018</t>
  </si>
  <si>
    <t>06/13/2018</t>
  </si>
  <si>
    <t>06/08/2018</t>
  </si>
  <si>
    <t>06/07/2018</t>
  </si>
  <si>
    <t>06/06/2018</t>
  </si>
  <si>
    <t>06/05/2018</t>
  </si>
  <si>
    <t>06/04/2018</t>
  </si>
  <si>
    <t>05/30/2018</t>
  </si>
  <si>
    <t>05/29/2018</t>
  </si>
  <si>
    <t>05/23/2018</t>
  </si>
  <si>
    <t>05/22/2018</t>
  </si>
  <si>
    <t>05/11/2018</t>
  </si>
  <si>
    <t>05/10/2018</t>
  </si>
  <si>
    <t>05/07/2018</t>
  </si>
  <si>
    <t>05/04/2018</t>
  </si>
  <si>
    <t>05/02/2018</t>
  </si>
  <si>
    <t>04/27/2018</t>
  </si>
  <si>
    <t>04/06/2018</t>
  </si>
  <si>
    <t>04/03/2018</t>
  </si>
  <si>
    <t>03/29/2018</t>
  </si>
  <si>
    <t>03/27/2018</t>
  </si>
  <si>
    <t>03/26/2018</t>
  </si>
  <si>
    <t>03/23/2018</t>
  </si>
  <si>
    <t>03/22/2018</t>
  </si>
  <si>
    <t>03/19/2018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</si>
  <si>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</si>
  <si>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</si>
  <si>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</si>
  <si>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</si>
  <si>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</si>
  <si>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</si>
  <si>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</si>
  <si>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</si>
  <si>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</si>
  <si>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</si>
  <si>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02/28/2018</t>
  </si>
  <si>
    <t>02/27/2018</t>
  </si>
  <si>
    <t>02/26/2018</t>
  </si>
  <si>
    <t>02/23/2018</t>
  </si>
  <si>
    <t>02/22/2018</t>
  </si>
  <si>
    <t>02/20/2018</t>
  </si>
  <si>
    <t>02/19/2018</t>
  </si>
  <si>
    <t>02/16/2018</t>
  </si>
  <si>
    <t>02/15/2018</t>
  </si>
  <si>
    <t>01/17/2018</t>
  </si>
  <si>
    <t>01/12/2018</t>
  </si>
  <si>
    <t>01/10/2018</t>
  </si>
  <si>
    <t>01/05/2018</t>
  </si>
  <si>
    <t>01/04/2018</t>
  </si>
  <si>
    <t>12/22/2017</t>
  </si>
  <si>
    <t>12/18/2017</t>
  </si>
  <si>
    <t>12/11/2017</t>
  </si>
  <si>
    <t>12/08/2017</t>
  </si>
  <si>
    <t>12/07/2017</t>
  </si>
  <si>
    <t>11/28/2017</t>
  </si>
  <si>
    <t>11/27/2017</t>
  </si>
  <si>
    <t>11/24/2017</t>
  </si>
  <si>
    <t>11/21/2017</t>
  </si>
  <si>
    <t>11/08/2017</t>
  </si>
  <si>
    <t>11/07/2017</t>
  </si>
  <si>
    <t>11/06/2017</t>
  </si>
  <si>
    <t>11/02/2017</t>
  </si>
  <si>
    <t>10/27/2017</t>
  </si>
  <si>
    <t>10/26/2017</t>
  </si>
  <si>
    <t>10/25/2017</t>
  </si>
  <si>
    <t>10/09/2017</t>
  </si>
  <si>
    <t>10/06/2017</t>
  </si>
  <si>
    <t>09/26/2017</t>
  </si>
  <si>
    <t>09/12/2017</t>
  </si>
  <si>
    <t>09/06/2017</t>
  </si>
  <si>
    <t>09/04/2017</t>
  </si>
  <si>
    <t>08/25/2017</t>
  </si>
  <si>
    <t>08/18/2017</t>
  </si>
  <si>
    <t>08/09/2017</t>
  </si>
  <si>
    <t>07/13/2017</t>
  </si>
  <si>
    <t>07/10/2017</t>
  </si>
  <si>
    <t>06/27/2017</t>
  </si>
  <si>
    <t>06/20/2017</t>
  </si>
  <si>
    <t>06/19/2017</t>
  </si>
  <si>
    <t>06/13/2017</t>
  </si>
  <si>
    <t>06/12/2017</t>
  </si>
  <si>
    <t>06/09/2017</t>
  </si>
  <si>
    <t>06/02/2017</t>
  </si>
  <si>
    <t>05/23/2017</t>
  </si>
  <si>
    <t>05/12/2017</t>
  </si>
  <si>
    <t>05/09/2017</t>
  </si>
  <si>
    <t>05/05/2017</t>
  </si>
  <si>
    <t>05/04/2017</t>
  </si>
  <si>
    <t>04/25/2017</t>
  </si>
  <si>
    <t>04/20/2017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</si>
  <si>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</si>
  <si>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</si>
  <si>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</si>
  <si>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</si>
  <si>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</si>
  <si>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</si>
  <si>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</si>
  <si>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03/31/2017</t>
  </si>
  <si>
    <t>03/30/2017</t>
  </si>
  <si>
    <t>03/23/2017</t>
  </si>
  <si>
    <t>03/22/2017</t>
  </si>
  <si>
    <t>03/20/2017</t>
  </si>
  <si>
    <t>03/17/2017</t>
  </si>
  <si>
    <t>03/16/2017</t>
  </si>
  <si>
    <t>02/15/2017</t>
  </si>
  <si>
    <t>02/13/2017</t>
  </si>
  <si>
    <t>02/03/2017</t>
  </si>
  <si>
    <t>01/31/2017</t>
  </si>
  <si>
    <t>01/27/2017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</si>
  <si>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</si>
  <si>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</si>
  <si>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</si>
  <si>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</si>
  <si>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</si>
  <si>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</si>
  <si>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</si>
  <si>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</si>
  <si>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01/12/2017</t>
  </si>
  <si>
    <t>01/11/2017</t>
  </si>
  <si>
    <t>01/10/2017</t>
  </si>
  <si>
    <t>01/09/2017</t>
  </si>
  <si>
    <t>01/02/2017</t>
  </si>
  <si>
    <t>12/27/2016</t>
  </si>
  <si>
    <t>12/23/2016</t>
  </si>
  <si>
    <t>12/21/2016</t>
  </si>
  <si>
    <t>12/20/2016</t>
  </si>
  <si>
    <t>12/19/2016</t>
  </si>
  <si>
    <t>12/16/2016</t>
  </si>
  <si>
    <t>12/15/2016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</si>
  <si>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</si>
  <si>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</si>
  <si>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</si>
  <si>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</si>
  <si>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</si>
  <si>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</si>
  <si>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</si>
  <si>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</si>
  <si>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11/30/2016</t>
  </si>
  <si>
    <t>11/29/2016</t>
  </si>
  <si>
    <t>11/28/2016</t>
  </si>
  <si>
    <t>11/21/2016</t>
  </si>
  <si>
    <t>11/16/2016</t>
  </si>
  <si>
    <t>11/14/2016</t>
  </si>
  <si>
    <t>11/09/2016</t>
  </si>
  <si>
    <t>11/03/2016</t>
  </si>
  <si>
    <t>10/31/2016</t>
  </si>
  <si>
    <t>10/24/2016</t>
  </si>
  <si>
    <t>10/13/2016</t>
  </si>
  <si>
    <t>10/12/2016</t>
  </si>
  <si>
    <t>10/07/2016</t>
  </si>
  <si>
    <t>10/06/2016</t>
  </si>
  <si>
    <t>10/05/2016</t>
  </si>
  <si>
    <t>10/03/2016</t>
  </si>
  <si>
    <t>09/27/2016</t>
  </si>
  <si>
    <t>09/13/2016</t>
  </si>
  <si>
    <t>09/12/2016</t>
  </si>
  <si>
    <t>09/09/2016</t>
  </si>
  <si>
    <t>08/30/2016</t>
  </si>
  <si>
    <t>08/29/2016</t>
  </si>
  <si>
    <t>08/26/2016</t>
  </si>
  <si>
    <t>08/18/2016</t>
  </si>
  <si>
    <t>08/17/2016</t>
  </si>
  <si>
    <t>08/16/2016</t>
  </si>
  <si>
    <t>08/12/2016</t>
  </si>
  <si>
    <t>08/09/2016</t>
  </si>
  <si>
    <t>08/03/2016</t>
  </si>
  <si>
    <t>07/18/2016</t>
  </si>
  <si>
    <t>07/11/2016</t>
  </si>
  <si>
    <t>07/08/2016</t>
  </si>
  <si>
    <t>07/06/2016</t>
  </si>
  <si>
    <t>07/04/2016</t>
  </si>
  <si>
    <t>06/23/2016</t>
  </si>
  <si>
    <t>06/22/2016</t>
  </si>
  <si>
    <t>06/14/2016</t>
  </si>
  <si>
    <t>06/08/2016</t>
  </si>
  <si>
    <t>05/30/2016</t>
  </si>
  <si>
    <t>05/27/2016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</si>
  <si>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</si>
  <si>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</si>
  <si>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</si>
  <si>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</si>
  <si>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</si>
  <si>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</si>
  <si>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</si>
  <si>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</si>
  <si>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</si>
  <si>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05/11/2016</t>
  </si>
  <si>
    <t>05/10/2016</t>
  </si>
  <si>
    <t>05/09/2016</t>
  </si>
  <si>
    <t>05/06/2016</t>
  </si>
  <si>
    <t>05/05/2016</t>
  </si>
  <si>
    <t>05/04/2016</t>
  </si>
  <si>
    <t>05/02/2016</t>
  </si>
  <si>
    <t>04/22/2016</t>
  </si>
  <si>
    <t>03/31/2016</t>
  </si>
  <si>
    <t>03/22/2016</t>
  </si>
  <si>
    <t>03/18/2016</t>
  </si>
  <si>
    <t>03/17/2016</t>
  </si>
  <si>
    <t>03/16/2016</t>
  </si>
  <si>
    <t>03/14/2016</t>
  </si>
  <si>
    <t>03/11/2016</t>
  </si>
  <si>
    <t>03/10/2016</t>
  </si>
  <si>
    <t>03/08/2016</t>
  </si>
  <si>
    <t>02/29/2016</t>
  </si>
  <si>
    <t>02/25/2016</t>
  </si>
  <si>
    <t>02/17/2016</t>
  </si>
  <si>
    <t>02/16/2016</t>
  </si>
  <si>
    <t>02/15/2016</t>
  </si>
  <si>
    <t>02/12/2016</t>
  </si>
  <si>
    <t>02/11/2016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</si>
  <si>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</si>
  <si>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</si>
  <si>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</si>
  <si>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</si>
  <si>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</si>
  <si>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</si>
  <si>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</si>
  <si>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01/29/2016</t>
  </si>
  <si>
    <t>01/27/2016</t>
  </si>
  <si>
    <t>01/26/2016</t>
  </si>
  <si>
    <t>01/21/2016</t>
  </si>
  <si>
    <t>01/20/2016</t>
  </si>
  <si>
    <t>01/19/2016</t>
  </si>
  <si>
    <t>01/18/2016</t>
  </si>
  <si>
    <t>01/14/2016</t>
  </si>
  <si>
    <t>01/11/2016</t>
  </si>
  <si>
    <t>01/08/2016</t>
  </si>
  <si>
    <t>01/07/2016</t>
  </si>
  <si>
    <t>12/29/2015</t>
  </si>
  <si>
    <t>12/11/2015</t>
  </si>
  <si>
    <t>12/10/2015</t>
  </si>
  <si>
    <t>12/07/2015</t>
  </si>
  <si>
    <t>12/03/2015</t>
  </si>
  <si>
    <t>12/02/2015</t>
  </si>
  <si>
    <t>11/27/2015</t>
  </si>
  <si>
    <t>11/26/2015</t>
  </si>
  <si>
    <t>11/25/2015</t>
  </si>
  <si>
    <t>11/20/2015</t>
  </si>
  <si>
    <t>11/17/2015</t>
  </si>
  <si>
    <t>11/16/2015</t>
  </si>
  <si>
    <t>11/13/2015</t>
  </si>
  <si>
    <t>11/12/2015</t>
  </si>
  <si>
    <t>11/10/2015</t>
  </si>
  <si>
    <t>11/09/2015</t>
  </si>
  <si>
    <t>11/03/2015</t>
  </si>
  <si>
    <t>11/02/2015</t>
  </si>
  <si>
    <t>10/30/2015</t>
  </si>
  <si>
    <t>10/29/2015</t>
  </si>
  <si>
    <t>10/26/2015</t>
  </si>
  <si>
    <t>10/22/2015</t>
  </si>
  <si>
    <t>10/20/2015</t>
  </si>
  <si>
    <t>10/19/2015</t>
  </si>
  <si>
    <t>10/16/2015</t>
  </si>
  <si>
    <t>10/15/2015</t>
  </si>
  <si>
    <t>10/14/2015</t>
  </si>
  <si>
    <t>10/12/2015</t>
  </si>
  <si>
    <t>10/05/2015</t>
  </si>
  <si>
    <t>10/02/2015</t>
  </si>
  <si>
    <t>09/24/2015</t>
  </si>
  <si>
    <t>09/23/2015</t>
  </si>
  <si>
    <t>09/16/2015</t>
  </si>
  <si>
    <t>09/07/2015</t>
  </si>
  <si>
    <t>09/03/2015</t>
  </si>
  <si>
    <t>09/02/2015</t>
  </si>
  <si>
    <t>08/31/2015</t>
  </si>
  <si>
    <t>08/27/2015</t>
  </si>
  <si>
    <t>08/26/2015</t>
  </si>
  <si>
    <t>08/25/2015</t>
  </si>
  <si>
    <t>08/24/2015</t>
  </si>
  <si>
    <t>08/19/2015</t>
  </si>
  <si>
    <t>08/14/2015</t>
  </si>
  <si>
    <t>08/13/2015</t>
  </si>
  <si>
    <t>08/12/2015</t>
  </si>
  <si>
    <t>08/11/2015</t>
  </si>
  <si>
    <t>08/10/2015</t>
  </si>
  <si>
    <t>08/07/2015</t>
  </si>
  <si>
    <t>08/03/2015</t>
  </si>
  <si>
    <t>07/31/2015</t>
  </si>
  <si>
    <t>07/30/2015</t>
  </si>
  <si>
    <t>07/29/2015</t>
  </si>
  <si>
    <t>07/23/2015</t>
  </si>
  <si>
    <t>07/22/2015</t>
  </si>
  <si>
    <t>07/21/2015</t>
  </si>
  <si>
    <t>07/20/2015</t>
  </si>
  <si>
    <t>07/17/2015</t>
  </si>
  <si>
    <t>07/15/2015</t>
  </si>
  <si>
    <t>07/13/2015</t>
  </si>
  <si>
    <t>07/10/2015</t>
  </si>
  <si>
    <t>07/09/2015</t>
  </si>
  <si>
    <t>07/06/2015</t>
  </si>
  <si>
    <t>06/29/2015</t>
  </si>
  <si>
    <t>06/23/2015</t>
  </si>
  <si>
    <t>06/22/2015</t>
  </si>
  <si>
    <t>06/18/2015</t>
  </si>
  <si>
    <t>06/17/2015</t>
  </si>
  <si>
    <t>06/12/2015</t>
  </si>
  <si>
    <t>06/11/2015</t>
  </si>
  <si>
    <t>06/10/2015</t>
  </si>
  <si>
    <t>06/09/2015</t>
  </si>
  <si>
    <t>06/05/2015</t>
  </si>
  <si>
    <t>06/03/2015</t>
  </si>
  <si>
    <t>06/02/2015</t>
  </si>
  <si>
    <t>05/27/2015</t>
  </si>
  <si>
    <t>05/22/2015</t>
  </si>
  <si>
    <t>05/20/2015</t>
  </si>
  <si>
    <t>05/18/2015</t>
  </si>
  <si>
    <t>05/15/2015</t>
  </si>
  <si>
    <t>05/14/2015</t>
  </si>
  <si>
    <t>05/12/2015</t>
  </si>
  <si>
    <t>05/11/2015</t>
  </si>
  <si>
    <t>05/07/2015</t>
  </si>
  <si>
    <t>05/06/2015</t>
  </si>
  <si>
    <t>05/04/2015</t>
  </si>
  <si>
    <t>04/30/2015</t>
  </si>
  <si>
    <t>04/28/2015</t>
  </si>
  <si>
    <t>04/23/2015</t>
  </si>
  <si>
    <t>04/22/2015</t>
  </si>
  <si>
    <t>04/21/2015</t>
  </si>
  <si>
    <t>04/20/2015</t>
  </si>
  <si>
    <t>04/17/2015</t>
  </si>
  <si>
    <t>04/15/2015</t>
  </si>
  <si>
    <t>04/14/2015</t>
  </si>
  <si>
    <t>04/13/2015</t>
  </si>
  <si>
    <t>04/10/2015</t>
  </si>
  <si>
    <t>04/09/2015</t>
  </si>
  <si>
    <t>04/08/2015</t>
  </si>
  <si>
    <t>04/07/2015</t>
  </si>
  <si>
    <t>04/02/2015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</si>
  <si>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</si>
  <si>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</si>
  <si>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</si>
  <si>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</si>
  <si>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</si>
  <si>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</si>
  <si>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</si>
  <si>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</si>
  <si>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</si>
  <si>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</si>
  <si>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</si>
  <si>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</si>
  <si>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03/12/2015</t>
  </si>
  <si>
    <t>03/11/2015</t>
  </si>
  <si>
    <t>03/06/2015</t>
  </si>
  <si>
    <t>03/05/2015</t>
  </si>
  <si>
    <t>03/02/2015</t>
  </si>
  <si>
    <t>02/27/2015</t>
  </si>
  <si>
    <t>02/26/2015</t>
  </si>
  <si>
    <t>02/25/2015</t>
  </si>
  <si>
    <t>02/24/2015</t>
  </si>
  <si>
    <t>02/23/2015</t>
  </si>
  <si>
    <t>02/20/2015</t>
  </si>
  <si>
    <t>02/17/2015</t>
  </si>
  <si>
    <t>02/13/2015</t>
  </si>
  <si>
    <t>02/12/2015</t>
  </si>
  <si>
    <t>02/11/2015</t>
  </si>
  <si>
    <t>02/10/2015</t>
  </si>
  <si>
    <t>02/09/2015</t>
  </si>
  <si>
    <t>02/06/2015</t>
  </si>
  <si>
    <t>02/05/2015</t>
  </si>
  <si>
    <t>02/04/2015</t>
  </si>
  <si>
    <t>02/03/2015</t>
  </si>
  <si>
    <t>02/02/2015</t>
  </si>
  <si>
    <t>01/28/2015</t>
  </si>
  <si>
    <t>01/27/2015</t>
  </si>
  <si>
    <t>01/26/2015</t>
  </si>
  <si>
    <t>01/23/2015</t>
  </si>
  <si>
    <t>01/19/2015</t>
  </si>
  <si>
    <t>01/15/2015</t>
  </si>
  <si>
    <t>01/14/2015</t>
  </si>
  <si>
    <t>01/13/2015</t>
  </si>
  <si>
    <t>01/12/2015</t>
  </si>
  <si>
    <t>01/09/2015</t>
  </si>
  <si>
    <t>01/08/2015</t>
  </si>
  <si>
    <t>01/07/2015</t>
  </si>
  <si>
    <t>01/05/2015</t>
  </si>
  <si>
    <t>12/30/2014</t>
  </si>
  <si>
    <t>12/29/2014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</si>
  <si>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</si>
  <si>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</si>
  <si>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</si>
  <si>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</si>
  <si>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</si>
  <si>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</si>
  <si>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</si>
  <si>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12/12/2014</t>
  </si>
  <si>
    <t>12/11/2014</t>
  </si>
  <si>
    <t>12/10/2014</t>
  </si>
  <si>
    <t>12/09/2014</t>
  </si>
  <si>
    <t>12/08/2014</t>
  </si>
  <si>
    <t>12/05/2014</t>
  </si>
  <si>
    <t>12/04/2014</t>
  </si>
  <si>
    <t>12/03/2014</t>
  </si>
  <si>
    <t>12/02/2014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</si>
  <si>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</si>
  <si>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</si>
  <si>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</si>
  <si>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</si>
  <si>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</si>
  <si>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</si>
  <si>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</si>
  <si>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</si>
  <si>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</si>
  <si>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11/13/2014</t>
  </si>
  <si>
    <t>11/12/2014</t>
  </si>
  <si>
    <t>11/10/2014</t>
  </si>
  <si>
    <t>Ink. 3y. interest swap</t>
  </si>
  <si>
    <t>Spread ex. swap 10y</t>
  </si>
  <si>
    <t xml:space="preserve">Assuming 3 % mandatory amortization </t>
  </si>
  <si>
    <t>Unlevered Beta</t>
  </si>
  <si>
    <t>Debt/Equity Ratio</t>
  </si>
  <si>
    <t>Adjusted Beta</t>
  </si>
  <si>
    <t>Unlevered Cost of Capital</t>
  </si>
  <si>
    <t>Unlevered Cost of Capital:</t>
  </si>
  <si>
    <t>PV of FCFF</t>
  </si>
  <si>
    <t>Cost of debt</t>
  </si>
  <si>
    <t>Tax shield</t>
  </si>
  <si>
    <r>
      <t xml:space="preserve">FCFF </t>
    </r>
    <r>
      <rPr>
        <sz val="9"/>
        <color theme="1"/>
        <rFont val="Aptos Narrow"/>
      </rPr>
      <t>(unlevered, no interest deducted)</t>
    </r>
  </si>
  <si>
    <r>
      <t>Unlevered Cost of Capital</t>
    </r>
    <r>
      <rPr>
        <sz val="11"/>
        <color rgb="FF000000"/>
        <rFont val="Aptos Narrow"/>
      </rPr>
      <t xml:space="preserve"> </t>
    </r>
    <r>
      <rPr>
        <sz val="9"/>
        <color rgb="FF000000"/>
        <rFont val="Aptos Narrow"/>
      </rPr>
      <t>(tax shield not included)</t>
    </r>
  </si>
  <si>
    <t>Pv of tax shield</t>
  </si>
  <si>
    <t>PV of tax shield</t>
  </si>
  <si>
    <t>APV method</t>
  </si>
  <si>
    <t>Adjusted based on Aswath Damodarans ICR risk premiums</t>
  </si>
  <si>
    <t>Interest cost</t>
  </si>
  <si>
    <t>Unlevered Cost of Equity</t>
  </si>
  <si>
    <t>Premium to the offer</t>
  </si>
  <si>
    <t>Terminal value Ts</t>
  </si>
  <si>
    <t>Assumed to be the average of debt B and debt end</t>
  </si>
  <si>
    <t>PV terminal value Ts</t>
  </si>
  <si>
    <t>APV (EV)</t>
  </si>
  <si>
    <t xml:space="preserve">what is this? </t>
  </si>
  <si>
    <t>EBITDA margins</t>
  </si>
  <si>
    <t>Levered Free Cash Flow</t>
  </si>
  <si>
    <t>Terminal values % of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</si>
</sst>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%"/>
    <numFmt numFmtId="165" formatCode="0\ &quot;yrs&quot;"/>
    <numFmt numFmtId="166" formatCode="0.0%_);\(0.0%\);@_)"/>
    <numFmt numFmtId="167" formatCode="0.0\x_)"/>
    <numFmt numFmtId="168" formatCode="0.0\ %"/>
    <numFmt numFmtId="169" formatCode="#,##0.00\ &quot;kr&quot;"/>
    <numFmt numFmtId="170" formatCode="yyyy\-mm\-dd;@"/>
    <numFmt numFmtId="171" formatCode="#,##0.0000"/>
    <numFmt numFmtId="172" formatCode="yyyy/mm/dd;@"/>
    <numFmt numFmtId="173" formatCode="#,##0.0"/>
    <numFmt numFmtId="174" formatCode="0.0"/>
    <numFmt numFmtId="175" formatCode="_-* #,##0_-;\-* #,##0_-;_-* &quot;-&quot;??_-;_-@_-"/>
    <numFmt numFmtId="176" formatCode="0&quot;E&quot;"/>
    <numFmt numFmtId="177" formatCode="0.00%_);\(0.00%\);@_)"/>
    <numFmt numFmtId="178" formatCode="#,##0.0;\-#,##0.0"/>
    <numFmt numFmtId="179" formatCode="0.0000"/>
    <numFmt numFmtId="180" formatCode="#,##0.00\ [$PLN]"/>
    <numFmt numFmtId="181" formatCode="#,##0.0_ ;\-#,##0.0\ "/>
    <numFmt numFmtId="182" formatCode="0&quot; yrs&quot;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i/>
      <sz val="11"/>
      <color theme="4" tint="0.3999755851924192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rgb="FFFFFFFF"/>
      <name val="Aptos Narrow"/>
    </font>
    <font>
      <sz val="11"/>
      <color rgb="FF000000"/>
      <name val="Aptos Narrow"/>
    </font>
    <font>
      <sz val="11"/>
      <name val="Aptos Narrow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8EA9DB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 (Body)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8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000000"/>
      <name val="Aptos Narrow"/>
    </font>
    <font>
      <b/>
      <sz val="7"/>
      <color rgb="FFFFFFFF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b/>
      <sz val="7"/>
      <color rgb="FF000000"/>
      <name val="Arial"/>
      <family val="2"/>
    </font>
    <font>
      <b/>
      <i/>
      <sz val="7"/>
      <color theme="1"/>
      <name val="Arial"/>
      <family val="2"/>
    </font>
    <font>
      <b/>
      <i/>
      <sz val="7"/>
      <color rgb="FF000000"/>
      <name val="Arial"/>
      <family val="2"/>
    </font>
    <font>
      <b/>
      <i/>
      <sz val="7"/>
      <color rgb="FFF44336"/>
      <name val="Arial"/>
      <family val="2"/>
    </font>
    <font>
      <sz val="7"/>
      <color rgb="FFF44336"/>
      <name val="Arial"/>
      <family val="2"/>
    </font>
    <font>
      <b/>
      <sz val="7"/>
      <color rgb="FFF44336"/>
      <name val="Arial"/>
      <family val="2"/>
    </font>
    <font>
      <i/>
      <sz val="7"/>
      <color theme="1"/>
      <name val="Arial"/>
      <family val="2"/>
    </font>
    <font>
      <i/>
      <sz val="7"/>
      <color rgb="FF000000"/>
      <name val="Arial"/>
      <family val="2"/>
    </font>
    <font>
      <i/>
      <sz val="7"/>
      <color rgb="FFF44336"/>
      <name val="Arial"/>
      <family val="2"/>
    </font>
    <font>
      <b/>
      <sz val="16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000000"/>
      <name val="Times New Roman"/>
      <family val="1"/>
    </font>
    <font>
      <i/>
      <sz val="11"/>
      <color theme="4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Roboto"/>
      <family val="2"/>
      <charset val="1"/>
    </font>
    <font>
      <sz val="11"/>
      <color theme="1"/>
      <name val="Roboto"/>
      <family val="2"/>
      <charset val="1"/>
    </font>
    <font>
      <sz val="11"/>
      <color rgb="FF000000"/>
      <name val="Roboto"/>
      <family val="2"/>
      <charset val="1"/>
    </font>
    <font>
      <b/>
      <sz val="11"/>
      <color theme="1"/>
      <name val="Roboto"/>
      <family val="2"/>
      <charset val="1"/>
    </font>
    <font>
      <b/>
      <sz val="11"/>
      <color rgb="FF000000"/>
      <name val="Roboto"/>
      <family val="2"/>
      <charset val="1"/>
    </font>
    <font>
      <sz val="11"/>
      <color rgb="FFF44336"/>
      <name val="Roboto"/>
      <family val="2"/>
      <charset val="1"/>
    </font>
    <font>
      <b/>
      <i/>
      <sz val="11"/>
      <color theme="1"/>
      <name val="Roboto"/>
      <family val="2"/>
      <charset val="1"/>
    </font>
    <font>
      <b/>
      <sz val="11"/>
      <color rgb="FF111111"/>
      <name val="Roboto"/>
      <family val="2"/>
      <charset val="1"/>
    </font>
    <font>
      <b/>
      <sz val="11"/>
      <color rgb="FF242424"/>
      <name val="Aptos Narrow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Aptos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9"/>
      <color theme="1"/>
      <name val="Aptos Narrow"/>
    </font>
    <font>
      <sz val="9"/>
      <color rgb="FF000000"/>
      <name val="Aptos Narrow"/>
    </font>
    <font>
      <sz val="9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6" tint="0.599963377788628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0303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1BFB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82828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2" fontId="32" fillId="8" borderId="24" applyProtection="0">
      <alignment horizontal="center" vertical="center"/>
    </xf>
    <xf numFmtId="4" fontId="32" fillId="9" borderId="24" applyProtection="0">
      <alignment horizontal="right" vertical="center"/>
    </xf>
    <xf numFmtId="43" fontId="1" fillId="0" borderId="0" applyFont="0" applyFill="0" applyBorder="0" applyAlignment="0" applyProtection="0"/>
    <xf numFmtId="0" fontId="39" fillId="0" borderId="0"/>
  </cellStyleXfs>
  <cellXfs count="54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0" fontId="9" fillId="0" borderId="0" xfId="0" applyFont="1" applyAlignment="1">
      <alignment horizontal="right"/>
    </xf>
    <xf numFmtId="37" fontId="0" fillId="0" borderId="0" xfId="0" applyNumberFormat="1"/>
    <xf numFmtId="0" fontId="3" fillId="2" borderId="2" xfId="0" applyFont="1" applyFill="1" applyBorder="1"/>
    <xf numFmtId="0" fontId="3" fillId="2" borderId="3" xfId="0" applyFont="1" applyFill="1" applyBorder="1"/>
    <xf numFmtId="37" fontId="10" fillId="0" borderId="0" xfId="0" applyNumberFormat="1" applyFont="1"/>
    <xf numFmtId="37" fontId="6" fillId="0" borderId="0" xfId="0" applyNumberFormat="1" applyFont="1"/>
    <xf numFmtId="4" fontId="0" fillId="0" borderId="0" xfId="0" applyNumberFormat="1"/>
    <xf numFmtId="0" fontId="7" fillId="0" borderId="0" xfId="0" applyFont="1" applyAlignment="1">
      <alignment horizontal="left" indent="1"/>
    </xf>
    <xf numFmtId="0" fontId="9" fillId="0" borderId="0" xfId="0" applyFont="1"/>
    <xf numFmtId="167" fontId="0" fillId="0" borderId="0" xfId="0" applyNumberFormat="1"/>
    <xf numFmtId="37" fontId="3" fillId="2" borderId="3" xfId="0" applyNumberFormat="1" applyFont="1" applyFill="1" applyBorder="1"/>
    <xf numFmtId="167" fontId="3" fillId="2" borderId="3" xfId="0" applyNumberFormat="1" applyFont="1" applyFill="1" applyBorder="1"/>
    <xf numFmtId="9" fontId="3" fillId="2" borderId="4" xfId="1" applyFont="1" applyFill="1" applyBorder="1"/>
    <xf numFmtId="0" fontId="0" fillId="2" borderId="0" xfId="0" applyFill="1"/>
    <xf numFmtId="0" fontId="4" fillId="4" borderId="0" xfId="0" applyFont="1" applyFill="1"/>
    <xf numFmtId="0" fontId="2" fillId="4" borderId="0" xfId="0" applyFont="1" applyFill="1"/>
    <xf numFmtId="0" fontId="0" fillId="0" borderId="0" xfId="0" applyAlignment="1">
      <alignment horizontal="right"/>
    </xf>
    <xf numFmtId="0" fontId="3" fillId="2" borderId="0" xfId="0" applyFont="1" applyFill="1"/>
    <xf numFmtId="0" fontId="16" fillId="0" borderId="0" xfId="0" applyFont="1"/>
    <xf numFmtId="3" fontId="0" fillId="0" borderId="0" xfId="0" applyNumberFormat="1"/>
    <xf numFmtId="3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4" fillId="0" borderId="0" xfId="0" applyFont="1"/>
    <xf numFmtId="0" fontId="0" fillId="4" borderId="0" xfId="0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/>
    </xf>
    <xf numFmtId="3" fontId="10" fillId="0" borderId="0" xfId="0" applyNumberFormat="1" applyFont="1"/>
    <xf numFmtId="0" fontId="23" fillId="2" borderId="0" xfId="0" applyFont="1" applyFill="1"/>
    <xf numFmtId="0" fontId="24" fillId="5" borderId="0" xfId="0" applyFont="1" applyFill="1"/>
    <xf numFmtId="0" fontId="25" fillId="5" borderId="0" xfId="0" applyFont="1" applyFill="1"/>
    <xf numFmtId="0" fontId="26" fillId="5" borderId="0" xfId="0" applyFont="1" applyFill="1"/>
    <xf numFmtId="3" fontId="27" fillId="6" borderId="0" xfId="0" applyNumberFormat="1" applyFont="1" applyFill="1"/>
    <xf numFmtId="3" fontId="26" fillId="6" borderId="0" xfId="0" applyNumberFormat="1" applyFont="1" applyFill="1"/>
    <xf numFmtId="0" fontId="26" fillId="6" borderId="0" xfId="0" applyFont="1" applyFill="1"/>
    <xf numFmtId="169" fontId="26" fillId="6" borderId="0" xfId="0" applyNumberFormat="1" applyFont="1" applyFill="1"/>
    <xf numFmtId="169" fontId="0" fillId="0" borderId="0" xfId="0" applyNumberFormat="1"/>
    <xf numFmtId="10" fontId="26" fillId="6" borderId="0" xfId="1" applyNumberFormat="1" applyFont="1" applyFill="1"/>
    <xf numFmtId="9" fontId="26" fillId="6" borderId="0" xfId="1" applyFont="1" applyFill="1"/>
    <xf numFmtId="0" fontId="13" fillId="0" borderId="0" xfId="0" applyFont="1"/>
    <xf numFmtId="0" fontId="28" fillId="5" borderId="0" xfId="0" applyFont="1" applyFill="1" applyAlignment="1">
      <alignment horizontal="center"/>
    </xf>
    <xf numFmtId="0" fontId="29" fillId="5" borderId="0" xfId="0" applyFont="1" applyFill="1"/>
    <xf numFmtId="0" fontId="28" fillId="5" borderId="0" xfId="0" applyFont="1" applyFill="1"/>
    <xf numFmtId="0" fontId="13" fillId="0" borderId="0" xfId="0" applyFont="1" applyAlignment="1">
      <alignment horizontal="center"/>
    </xf>
    <xf numFmtId="0" fontId="29" fillId="5" borderId="12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/>
    </xf>
    <xf numFmtId="0" fontId="10" fillId="6" borderId="0" xfId="0" applyFont="1" applyFill="1"/>
    <xf numFmtId="10" fontId="13" fillId="0" borderId="0" xfId="0" applyNumberFormat="1" applyFont="1"/>
    <xf numFmtId="0" fontId="12" fillId="6" borderId="0" xfId="0" applyFont="1" applyFill="1"/>
    <xf numFmtId="0" fontId="10" fillId="0" borderId="0" xfId="0" applyFont="1"/>
    <xf numFmtId="10" fontId="10" fillId="6" borderId="0" xfId="0" applyNumberFormat="1" applyFont="1" applyFill="1"/>
    <xf numFmtId="0" fontId="10" fillId="6" borderId="10" xfId="0" applyFont="1" applyFill="1" applyBorder="1" applyAlignment="1">
      <alignment horizontal="center" vertical="center"/>
    </xf>
    <xf numFmtId="10" fontId="10" fillId="6" borderId="1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0" fillId="6" borderId="11" xfId="0" applyNumberFormat="1" applyFont="1" applyFill="1" applyBorder="1" applyAlignment="1">
      <alignment horizontal="center" vertical="center"/>
    </xf>
    <xf numFmtId="3" fontId="10" fillId="6" borderId="0" xfId="0" applyNumberFormat="1" applyFont="1" applyFill="1"/>
    <xf numFmtId="2" fontId="10" fillId="6" borderId="0" xfId="0" applyNumberFormat="1" applyFont="1" applyFill="1"/>
    <xf numFmtId="2" fontId="10" fillId="0" borderId="0" xfId="0" applyNumberFormat="1" applyFont="1"/>
    <xf numFmtId="10" fontId="28" fillId="0" borderId="0" xfId="0" applyNumberFormat="1" applyFont="1"/>
    <xf numFmtId="0" fontId="13" fillId="6" borderId="0" xfId="0" applyFont="1" applyFill="1"/>
    <xf numFmtId="10" fontId="28" fillId="6" borderId="0" xfId="0" applyNumberFormat="1" applyFont="1" applyFill="1"/>
    <xf numFmtId="10" fontId="28" fillId="5" borderId="0" xfId="0" applyNumberFormat="1" applyFont="1" applyFill="1" applyAlignment="1">
      <alignment horizontal="right" vertical="top"/>
    </xf>
    <xf numFmtId="0" fontId="10" fillId="6" borderId="8" xfId="0" applyFont="1" applyFill="1" applyBorder="1" applyAlignment="1">
      <alignment horizontal="center" vertical="center"/>
    </xf>
    <xf numFmtId="10" fontId="10" fillId="6" borderId="9" xfId="0" applyNumberFormat="1" applyFont="1" applyFill="1" applyBorder="1" applyAlignment="1">
      <alignment horizontal="center" vertical="center"/>
    </xf>
    <xf numFmtId="0" fontId="29" fillId="0" borderId="0" xfId="0" applyFont="1"/>
    <xf numFmtId="0" fontId="13" fillId="0" borderId="6" xfId="0" applyFont="1" applyBorder="1"/>
    <xf numFmtId="0" fontId="13" fillId="0" borderId="7" xfId="0" applyFont="1" applyBorder="1"/>
    <xf numFmtId="0" fontId="13" fillId="0" borderId="11" xfId="0" applyFont="1" applyBorder="1"/>
    <xf numFmtId="9" fontId="10" fillId="6" borderId="0" xfId="0" applyNumberFormat="1" applyFont="1" applyFill="1"/>
    <xf numFmtId="0" fontId="30" fillId="6" borderId="0" xfId="0" applyFont="1" applyFill="1"/>
    <xf numFmtId="10" fontId="13" fillId="6" borderId="0" xfId="0" applyNumberFormat="1" applyFont="1" applyFill="1"/>
    <xf numFmtId="0" fontId="13" fillId="0" borderId="10" xfId="0" applyFont="1" applyBorder="1"/>
    <xf numFmtId="3" fontId="13" fillId="6" borderId="0" xfId="0" applyNumberFormat="1" applyFont="1" applyFill="1"/>
    <xf numFmtId="0" fontId="13" fillId="0" borderId="1" xfId="0" applyFont="1" applyBorder="1"/>
    <xf numFmtId="164" fontId="31" fillId="6" borderId="0" xfId="0" applyNumberFormat="1" applyFont="1" applyFill="1"/>
    <xf numFmtId="170" fontId="29" fillId="5" borderId="0" xfId="0" applyNumberFormat="1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4" fontId="13" fillId="6" borderId="18" xfId="0" applyNumberFormat="1" applyFont="1" applyFill="1" applyBorder="1" applyAlignment="1">
      <alignment horizontal="center"/>
    </xf>
    <xf numFmtId="0" fontId="13" fillId="0" borderId="19" xfId="0" applyFont="1" applyBorder="1"/>
    <xf numFmtId="0" fontId="13" fillId="0" borderId="20" xfId="0" applyFont="1" applyBorder="1"/>
    <xf numFmtId="171" fontId="13" fillId="6" borderId="21" xfId="0" applyNumberFormat="1" applyFont="1" applyFill="1" applyBorder="1" applyAlignment="1">
      <alignment horizontal="center"/>
    </xf>
    <xf numFmtId="0" fontId="13" fillId="0" borderId="22" xfId="0" applyFont="1" applyBorder="1"/>
    <xf numFmtId="0" fontId="13" fillId="0" borderId="23" xfId="0" applyFont="1" applyBorder="1"/>
    <xf numFmtId="0" fontId="13" fillId="0" borderId="21" xfId="0" applyFont="1" applyBorder="1"/>
    <xf numFmtId="0" fontId="13" fillId="0" borderId="5" xfId="0" applyFont="1" applyBorder="1"/>
    <xf numFmtId="170" fontId="19" fillId="6" borderId="17" xfId="0" applyNumberFormat="1" applyFont="1" applyFill="1" applyBorder="1" applyAlignment="1">
      <alignment horizontal="center"/>
    </xf>
    <xf numFmtId="4" fontId="19" fillId="6" borderId="18" xfId="0" applyNumberFormat="1" applyFont="1" applyFill="1" applyBorder="1" applyAlignment="1">
      <alignment horizontal="center"/>
    </xf>
    <xf numFmtId="9" fontId="13" fillId="0" borderId="0" xfId="0" applyNumberFormat="1" applyFont="1" applyAlignment="1">
      <alignment horizontal="center"/>
    </xf>
    <xf numFmtId="0" fontId="28" fillId="5" borderId="0" xfId="0" applyFont="1" applyFill="1" applyAlignment="1">
      <alignment horizontal="center" vertical="center"/>
    </xf>
    <xf numFmtId="10" fontId="13" fillId="6" borderId="0" xfId="0" applyNumberFormat="1" applyFont="1" applyFill="1" applyAlignment="1">
      <alignment horizontal="center" vertical="center"/>
    </xf>
    <xf numFmtId="4" fontId="19" fillId="6" borderId="21" xfId="0" applyNumberFormat="1" applyFont="1" applyFill="1" applyBorder="1" applyAlignment="1">
      <alignment horizontal="center"/>
    </xf>
    <xf numFmtId="0" fontId="13" fillId="0" borderId="8" xfId="0" applyFont="1" applyBorder="1"/>
    <xf numFmtId="0" fontId="13" fillId="0" borderId="9" xfId="0" applyFont="1" applyBorder="1"/>
    <xf numFmtId="0" fontId="35" fillId="0" borderId="0" xfId="0" applyFont="1"/>
    <xf numFmtId="0" fontId="34" fillId="0" borderId="0" xfId="0" applyFont="1"/>
    <xf numFmtId="0" fontId="0" fillId="0" borderId="25" xfId="0" applyBorder="1"/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Continuous"/>
    </xf>
    <xf numFmtId="0" fontId="33" fillId="10" borderId="24" xfId="3" applyNumberFormat="1" applyFont="1" applyFill="1" applyAlignment="1">
      <alignment horizontal="center"/>
    </xf>
    <xf numFmtId="3" fontId="13" fillId="6" borderId="21" xfId="0" applyNumberFormat="1" applyFont="1" applyFill="1" applyBorder="1" applyAlignment="1">
      <alignment horizontal="center"/>
    </xf>
    <xf numFmtId="2" fontId="13" fillId="7" borderId="0" xfId="0" applyNumberFormat="1" applyFont="1" applyFill="1" applyAlignment="1">
      <alignment horizontal="center" vertical="center"/>
    </xf>
    <xf numFmtId="0" fontId="36" fillId="0" borderId="0" xfId="0" applyFont="1"/>
    <xf numFmtId="0" fontId="37" fillId="0" borderId="0" xfId="2" applyFont="1"/>
    <xf numFmtId="10" fontId="0" fillId="0" borderId="0" xfId="1" applyNumberFormat="1" applyFont="1"/>
    <xf numFmtId="0" fontId="0" fillId="0" borderId="11" xfId="0" applyBorder="1"/>
    <xf numFmtId="0" fontId="0" fillId="0" borderId="10" xfId="0" applyBorder="1"/>
    <xf numFmtId="0" fontId="0" fillId="0" borderId="0" xfId="0" applyAlignment="1">
      <alignment horizontal="left" vertical="center"/>
    </xf>
    <xf numFmtId="0" fontId="40" fillId="0" borderId="0" xfId="0" applyFont="1" applyAlignment="1">
      <alignment vertical="center"/>
    </xf>
    <xf numFmtId="0" fontId="3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1" fillId="0" borderId="0" xfId="0" applyFont="1" applyAlignment="1">
      <alignment wrapText="1"/>
    </xf>
    <xf numFmtId="9" fontId="0" fillId="0" borderId="0" xfId="0" applyNumberFormat="1"/>
    <xf numFmtId="3" fontId="13" fillId="0" borderId="0" xfId="0" applyNumberFormat="1" applyFont="1"/>
    <xf numFmtId="0" fontId="42" fillId="6" borderId="0" xfId="0" applyFont="1" applyFill="1"/>
    <xf numFmtId="10" fontId="0" fillId="0" borderId="0" xfId="0" applyNumberFormat="1"/>
    <xf numFmtId="0" fontId="0" fillId="3" borderId="0" xfId="0" applyFill="1"/>
    <xf numFmtId="0" fontId="43" fillId="13" borderId="0" xfId="0" applyFont="1" applyFill="1" applyAlignment="1">
      <alignment horizontal="left" vertical="center"/>
    </xf>
    <xf numFmtId="14" fontId="43" fillId="13" borderId="0" xfId="0" applyNumberFormat="1" applyFont="1" applyFill="1" applyAlignment="1">
      <alignment horizontal="right" vertical="center"/>
    </xf>
    <xf numFmtId="0" fontId="43" fillId="13" borderId="0" xfId="0" applyFont="1" applyFill="1" applyAlignment="1">
      <alignment horizontal="right" vertical="center"/>
    </xf>
    <xf numFmtId="0" fontId="44" fillId="3" borderId="0" xfId="0" applyFont="1" applyFill="1" applyAlignment="1">
      <alignment horizontal="left" vertical="center"/>
    </xf>
    <xf numFmtId="0" fontId="45" fillId="3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left" vertical="center"/>
    </xf>
    <xf numFmtId="0" fontId="47" fillId="3" borderId="0" xfId="0" applyFont="1" applyFill="1" applyAlignment="1">
      <alignment horizontal="right" vertical="center"/>
    </xf>
    <xf numFmtId="0" fontId="48" fillId="3" borderId="0" xfId="0" applyFont="1" applyFill="1" applyAlignment="1">
      <alignment horizontal="left" vertical="center"/>
    </xf>
    <xf numFmtId="10" fontId="49" fillId="3" borderId="0" xfId="0" applyNumberFormat="1" applyFont="1" applyFill="1" applyAlignment="1">
      <alignment horizontal="right" vertical="center"/>
    </xf>
    <xf numFmtId="10" fontId="50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right" vertical="center"/>
    </xf>
    <xf numFmtId="0" fontId="46" fillId="3" borderId="26" xfId="0" applyFont="1" applyFill="1" applyBorder="1" applyAlignment="1">
      <alignment horizontal="left" vertical="center"/>
    </xf>
    <xf numFmtId="0" fontId="47" fillId="3" borderId="26" xfId="0" applyFont="1" applyFill="1" applyBorder="1" applyAlignment="1">
      <alignment horizontal="right" vertical="center"/>
    </xf>
    <xf numFmtId="0" fontId="52" fillId="3" borderId="26" xfId="0" applyFont="1" applyFill="1" applyBorder="1" applyAlignment="1">
      <alignment horizontal="right" vertical="center"/>
    </xf>
    <xf numFmtId="0" fontId="53" fillId="3" borderId="0" xfId="0" applyFont="1" applyFill="1" applyAlignment="1">
      <alignment horizontal="left" vertical="center"/>
    </xf>
    <xf numFmtId="10" fontId="54" fillId="3" borderId="0" xfId="0" applyNumberFormat="1" applyFont="1" applyFill="1" applyAlignment="1">
      <alignment horizontal="right" vertical="center"/>
    </xf>
    <xf numFmtId="10" fontId="55" fillId="3" borderId="0" xfId="0" applyNumberFormat="1" applyFont="1" applyFill="1" applyAlignment="1">
      <alignment horizontal="right" vertical="center"/>
    </xf>
    <xf numFmtId="0" fontId="54" fillId="3" borderId="0" xfId="0" applyFont="1" applyFill="1" applyAlignment="1">
      <alignment horizontal="right" vertical="center"/>
    </xf>
    <xf numFmtId="0" fontId="55" fillId="3" borderId="0" xfId="0" applyFont="1" applyFill="1" applyAlignment="1">
      <alignment horizontal="right" vertical="center"/>
    </xf>
    <xf numFmtId="10" fontId="45" fillId="3" borderId="0" xfId="0" applyNumberFormat="1" applyFont="1" applyFill="1" applyAlignment="1">
      <alignment horizontal="right" vertical="center"/>
    </xf>
    <xf numFmtId="4" fontId="45" fillId="3" borderId="0" xfId="0" applyNumberFormat="1" applyFont="1" applyFill="1" applyAlignment="1">
      <alignment horizontal="right" vertical="center"/>
    </xf>
    <xf numFmtId="0" fontId="43" fillId="14" borderId="0" xfId="0" applyFont="1" applyFill="1" applyAlignment="1">
      <alignment horizontal="left" vertical="center"/>
    </xf>
    <xf numFmtId="0" fontId="43" fillId="14" borderId="0" xfId="0" applyFont="1" applyFill="1" applyAlignment="1">
      <alignment horizontal="right" vertical="center"/>
    </xf>
    <xf numFmtId="0" fontId="43" fillId="14" borderId="0" xfId="0" applyFont="1" applyFill="1" applyAlignment="1">
      <alignment horizontal="center" vertical="center"/>
    </xf>
    <xf numFmtId="10" fontId="51" fillId="3" borderId="0" xfId="0" applyNumberFormat="1" applyFont="1" applyFill="1" applyAlignment="1">
      <alignment horizontal="right" vertical="center"/>
    </xf>
    <xf numFmtId="4" fontId="26" fillId="6" borderId="0" xfId="0" applyNumberFormat="1" applyFont="1" applyFill="1"/>
    <xf numFmtId="0" fontId="0" fillId="0" borderId="0" xfId="0" applyAlignment="1">
      <alignment wrapText="1"/>
    </xf>
    <xf numFmtId="175" fontId="0" fillId="0" borderId="0" xfId="5" applyNumberFormat="1" applyFont="1"/>
    <xf numFmtId="0" fontId="0" fillId="0" borderId="1" xfId="0" applyBorder="1" applyAlignment="1">
      <alignment horizontal="center"/>
    </xf>
    <xf numFmtId="0" fontId="56" fillId="0" borderId="1" xfId="0" applyFont="1" applyBorder="1"/>
    <xf numFmtId="0" fontId="0" fillId="0" borderId="1" xfId="0" applyBorder="1"/>
    <xf numFmtId="164" fontId="3" fillId="0" borderId="0" xfId="0" applyNumberFormat="1" applyFont="1"/>
    <xf numFmtId="37" fontId="12" fillId="0" borderId="0" xfId="0" applyNumberFormat="1" applyFont="1" applyAlignment="1">
      <alignment horizontal="right"/>
    </xf>
    <xf numFmtId="37" fontId="14" fillId="0" borderId="0" xfId="0" applyNumberFormat="1" applyFont="1" applyAlignment="1">
      <alignment horizontal="right"/>
    </xf>
    <xf numFmtId="37" fontId="3" fillId="0" borderId="0" xfId="0" applyNumberFormat="1" applyFont="1"/>
    <xf numFmtId="37" fontId="8" fillId="0" borderId="0" xfId="0" applyNumberFormat="1" applyFont="1" applyAlignment="1">
      <alignment horizontal="right"/>
    </xf>
    <xf numFmtId="164" fontId="11" fillId="0" borderId="0" xfId="1" applyNumberFormat="1" applyFont="1"/>
    <xf numFmtId="37" fontId="10" fillId="0" borderId="0" xfId="0" applyNumberFormat="1" applyFont="1" applyAlignment="1">
      <alignment horizontal="right"/>
    </xf>
    <xf numFmtId="165" fontId="6" fillId="0" borderId="0" xfId="0" applyNumberFormat="1" applyFont="1"/>
    <xf numFmtId="0" fontId="3" fillId="2" borderId="5" xfId="0" applyFont="1" applyFill="1" applyBorder="1"/>
    <xf numFmtId="0" fontId="3" fillId="2" borderId="6" xfId="0" applyFont="1" applyFill="1" applyBorder="1"/>
    <xf numFmtId="0" fontId="60" fillId="2" borderId="8" xfId="0" applyFont="1" applyFill="1" applyBorder="1" applyAlignment="1">
      <alignment horizontal="left" indent="1"/>
    </xf>
    <xf numFmtId="0" fontId="3" fillId="2" borderId="1" xfId="0" applyFont="1" applyFill="1" applyBorder="1"/>
    <xf numFmtId="0" fontId="62" fillId="3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9" fillId="2" borderId="5" xfId="0" applyFont="1" applyFill="1" applyBorder="1"/>
    <xf numFmtId="0" fontId="0" fillId="2" borderId="6" xfId="0" applyFill="1" applyBorder="1"/>
    <xf numFmtId="0" fontId="0" fillId="2" borderId="10" xfId="0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0" fontId="0" fillId="2" borderId="1" xfId="0" applyFill="1" applyBorder="1"/>
    <xf numFmtId="0" fontId="58" fillId="0" borderId="0" xfId="0" applyFont="1"/>
    <xf numFmtId="37" fontId="12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2" fillId="4" borderId="0" xfId="0" applyFont="1" applyFill="1" applyAlignment="1">
      <alignment horizontal="center"/>
    </xf>
    <xf numFmtId="176" fontId="2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66" fontId="15" fillId="2" borderId="27" xfId="1" quotePrefix="1" applyNumberFormat="1" applyFont="1" applyFill="1" applyBorder="1" applyAlignment="1">
      <alignment horizontal="center"/>
    </xf>
    <xf numFmtId="166" fontId="15" fillId="2" borderId="27" xfId="1" applyNumberFormat="1" applyFont="1" applyFill="1" applyBorder="1" applyAlignment="1">
      <alignment horizontal="center"/>
    </xf>
    <xf numFmtId="166" fontId="59" fillId="0" borderId="0" xfId="0" quotePrefix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7" fontId="0" fillId="0" borderId="0" xfId="0" applyNumberFormat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61" fillId="2" borderId="1" xfId="0" quotePrefix="1" applyNumberFormat="1" applyFont="1" applyFill="1" applyBorder="1" applyAlignment="1">
      <alignment horizontal="center"/>
    </xf>
    <xf numFmtId="166" fontId="61" fillId="2" borderId="9" xfId="0" quotePrefix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7" fontId="10" fillId="0" borderId="0" xfId="0" applyNumberFormat="1" applyFont="1" applyAlignment="1">
      <alignment horizontal="center" vertical="center"/>
    </xf>
    <xf numFmtId="166" fontId="15" fillId="0" borderId="0" xfId="0" quotePrefix="1" applyNumberFormat="1" applyFont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166" fontId="61" fillId="2" borderId="1" xfId="0" quotePrefix="1" applyNumberFormat="1" applyFont="1" applyFill="1" applyBorder="1" applyAlignment="1">
      <alignment horizontal="center" vertical="center"/>
    </xf>
    <xf numFmtId="166" fontId="61" fillId="2" borderId="9" xfId="0" quotePrefix="1" applyNumberFormat="1" applyFont="1" applyFill="1" applyBorder="1" applyAlignment="1">
      <alignment horizontal="center" vertical="center"/>
    </xf>
    <xf numFmtId="166" fontId="64" fillId="0" borderId="0" xfId="0" quotePrefix="1" applyNumberFormat="1" applyFont="1" applyAlignment="1">
      <alignment horizontal="center"/>
    </xf>
    <xf numFmtId="166" fontId="64" fillId="0" borderId="0" xfId="0" applyNumberFormat="1" applyFont="1" applyAlignment="1">
      <alignment horizontal="center"/>
    </xf>
    <xf numFmtId="0" fontId="45" fillId="15" borderId="0" xfId="0" applyFont="1" applyFill="1" applyAlignment="1">
      <alignment horizontal="right" vertical="center"/>
    </xf>
    <xf numFmtId="176" fontId="12" fillId="0" borderId="0" xfId="0" applyNumberFormat="1" applyFont="1" applyAlignment="1">
      <alignment horizontal="center"/>
    </xf>
    <xf numFmtId="37" fontId="12" fillId="2" borderId="6" xfId="0" applyNumberFormat="1" applyFont="1" applyFill="1" applyBorder="1" applyAlignment="1">
      <alignment horizontal="center"/>
    </xf>
    <xf numFmtId="37" fontId="12" fillId="2" borderId="7" xfId="0" applyNumberFormat="1" applyFont="1" applyFill="1" applyBorder="1" applyAlignment="1">
      <alignment horizontal="center"/>
    </xf>
    <xf numFmtId="0" fontId="65" fillId="0" borderId="0" xfId="0" applyFont="1"/>
    <xf numFmtId="164" fontId="15" fillId="2" borderId="27" xfId="1" applyNumberFormat="1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166" fontId="63" fillId="0" borderId="0" xfId="0" quotePrefix="1" applyNumberFormat="1" applyFont="1" applyAlignment="1">
      <alignment horizontal="center" vertical="center"/>
    </xf>
    <xf numFmtId="37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6" xfId="0" applyFont="1" applyBorder="1"/>
    <xf numFmtId="37" fontId="3" fillId="0" borderId="6" xfId="0" applyNumberFormat="1" applyFont="1" applyBorder="1" applyAlignment="1">
      <alignment horizontal="center" vertical="center"/>
    </xf>
    <xf numFmtId="39" fontId="10" fillId="2" borderId="27" xfId="0" applyNumberFormat="1" applyFont="1" applyFill="1" applyBorder="1" applyAlignment="1">
      <alignment horizontal="right"/>
    </xf>
    <xf numFmtId="172" fontId="10" fillId="2" borderId="27" xfId="0" applyNumberFormat="1" applyFont="1" applyFill="1" applyBorder="1" applyAlignment="1">
      <alignment horizontal="right"/>
    </xf>
    <xf numFmtId="37" fontId="10" fillId="2" borderId="27" xfId="0" applyNumberFormat="1" applyFont="1" applyFill="1" applyBorder="1" applyAlignment="1">
      <alignment horizontal="right"/>
    </xf>
    <xf numFmtId="167" fontId="10" fillId="2" borderId="27" xfId="0" applyNumberFormat="1" applyFont="1" applyFill="1" applyBorder="1" applyAlignment="1">
      <alignment horizontal="right"/>
    </xf>
    <xf numFmtId="164" fontId="7" fillId="0" borderId="0" xfId="1" applyNumberFormat="1" applyFont="1" applyAlignment="1">
      <alignment horizontal="center" vertical="center"/>
    </xf>
    <xf numFmtId="164" fontId="59" fillId="0" borderId="0" xfId="0" applyNumberFormat="1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7" fontId="0" fillId="2" borderId="0" xfId="0" applyNumberFormat="1" applyFill="1" applyAlignment="1">
      <alignment horizontal="center" vertical="center"/>
    </xf>
    <xf numFmtId="37" fontId="0" fillId="2" borderId="1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7" fontId="3" fillId="2" borderId="1" xfId="0" applyNumberFormat="1" applyFont="1" applyFill="1" applyBorder="1" applyAlignment="1">
      <alignment horizontal="center" vertical="center"/>
    </xf>
    <xf numFmtId="37" fontId="3" fillId="2" borderId="9" xfId="0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66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7" fillId="13" borderId="0" xfId="0" applyFont="1" applyFill="1"/>
    <xf numFmtId="14" fontId="67" fillId="13" borderId="0" xfId="0" applyNumberFormat="1" applyFont="1" applyFill="1"/>
    <xf numFmtId="0" fontId="68" fillId="3" borderId="0" xfId="0" applyFont="1" applyFill="1"/>
    <xf numFmtId="0" fontId="69" fillId="3" borderId="0" xfId="0" applyFont="1" applyFill="1"/>
    <xf numFmtId="0" fontId="70" fillId="3" borderId="0" xfId="0" applyFont="1" applyFill="1"/>
    <xf numFmtId="0" fontId="71" fillId="3" borderId="0" xfId="0" applyFont="1" applyFill="1"/>
    <xf numFmtId="0" fontId="72" fillId="3" borderId="0" xfId="0" applyFont="1" applyFill="1"/>
    <xf numFmtId="0" fontId="73" fillId="3" borderId="0" xfId="0" applyFont="1" applyFill="1"/>
    <xf numFmtId="178" fontId="3" fillId="2" borderId="6" xfId="0" applyNumberFormat="1" applyFont="1" applyFill="1" applyBorder="1" applyAlignment="1">
      <alignment horizontal="center" vertical="center"/>
    </xf>
    <xf numFmtId="178" fontId="3" fillId="2" borderId="7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74" fillId="0" borderId="0" xfId="0" applyFont="1"/>
    <xf numFmtId="0" fontId="75" fillId="0" borderId="0" xfId="0" applyFont="1"/>
    <xf numFmtId="178" fontId="10" fillId="0" borderId="0" xfId="0" applyNumberFormat="1" applyFont="1" applyAlignment="1">
      <alignment horizontal="center" vertical="center"/>
    </xf>
    <xf numFmtId="39" fontId="10" fillId="0" borderId="0" xfId="0" applyNumberFormat="1" applyFont="1" applyAlignment="1">
      <alignment horizontal="center" vertical="center"/>
    </xf>
    <xf numFmtId="0" fontId="3" fillId="2" borderId="28" xfId="0" applyFont="1" applyFill="1" applyBorder="1"/>
    <xf numFmtId="0" fontId="3" fillId="2" borderId="29" xfId="0" applyFont="1" applyFill="1" applyBorder="1"/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4" xfId="0" applyFont="1" applyFill="1" applyBorder="1"/>
    <xf numFmtId="174" fontId="10" fillId="0" borderId="0" xfId="0" applyNumberFormat="1" applyFont="1" applyAlignment="1">
      <alignment horizontal="center" vertical="center"/>
    </xf>
    <xf numFmtId="164" fontId="15" fillId="2" borderId="36" xfId="1" applyNumberFormat="1" applyFont="1" applyFill="1" applyBorder="1" applyAlignment="1">
      <alignment horizontal="center"/>
    </xf>
    <xf numFmtId="166" fontId="15" fillId="2" borderId="36" xfId="1" applyNumberFormat="1" applyFont="1" applyFill="1" applyBorder="1" applyAlignment="1">
      <alignment horizontal="center"/>
    </xf>
    <xf numFmtId="176" fontId="2" fillId="4" borderId="37" xfId="0" applyNumberFormat="1" applyFont="1" applyFill="1" applyBorder="1" applyAlignment="1">
      <alignment horizontal="center"/>
    </xf>
    <xf numFmtId="0" fontId="0" fillId="0" borderId="37" xfId="0" applyBorder="1"/>
    <xf numFmtId="0" fontId="65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37" fontId="12" fillId="2" borderId="39" xfId="0" applyNumberFormat="1" applyFont="1" applyFill="1" applyBorder="1" applyAlignment="1">
      <alignment horizontal="center"/>
    </xf>
    <xf numFmtId="166" fontId="61" fillId="2" borderId="40" xfId="0" quotePrefix="1" applyNumberFormat="1" applyFont="1" applyFill="1" applyBorder="1" applyAlignment="1">
      <alignment horizontal="center"/>
    </xf>
    <xf numFmtId="178" fontId="10" fillId="0" borderId="37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63" fillId="0" borderId="37" xfId="0" quotePrefix="1" applyNumberFormat="1" applyFont="1" applyBorder="1" applyAlignment="1">
      <alignment horizontal="center" vertical="center"/>
    </xf>
    <xf numFmtId="178" fontId="3" fillId="2" borderId="39" xfId="0" applyNumberFormat="1" applyFont="1" applyFill="1" applyBorder="1" applyAlignment="1">
      <alignment horizontal="center" vertical="center"/>
    </xf>
    <xf numFmtId="166" fontId="61" fillId="2" borderId="40" xfId="0" quotePrefix="1" applyNumberFormat="1" applyFont="1" applyFill="1" applyBorder="1" applyAlignment="1">
      <alignment horizontal="center" vertical="center"/>
    </xf>
    <xf numFmtId="37" fontId="10" fillId="0" borderId="37" xfId="0" applyNumberFormat="1" applyFont="1" applyBorder="1" applyAlignment="1">
      <alignment horizontal="center" vertical="center"/>
    </xf>
    <xf numFmtId="37" fontId="3" fillId="0" borderId="37" xfId="0" applyNumberFormat="1" applyFont="1" applyBorder="1" applyAlignment="1">
      <alignment horizontal="center" vertical="center"/>
    </xf>
    <xf numFmtId="0" fontId="2" fillId="4" borderId="37" xfId="0" applyFont="1" applyFill="1" applyBorder="1"/>
    <xf numFmtId="37" fontId="0" fillId="0" borderId="37" xfId="0" applyNumberFormat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37" fontId="0" fillId="2" borderId="37" xfId="0" applyNumberFormat="1" applyFill="1" applyBorder="1" applyAlignment="1">
      <alignment horizontal="center" vertical="center"/>
    </xf>
    <xf numFmtId="37" fontId="3" fillId="2" borderId="40" xfId="0" applyNumberFormat="1" applyFont="1" applyFill="1" applyBorder="1" applyAlignment="1">
      <alignment horizontal="center" vertical="center"/>
    </xf>
    <xf numFmtId="166" fontId="63" fillId="11" borderId="38" xfId="1" applyNumberFormat="1" applyFont="1" applyFill="1" applyBorder="1" applyAlignment="1">
      <alignment horizontal="center"/>
    </xf>
    <xf numFmtId="166" fontId="63" fillId="11" borderId="27" xfId="1" applyNumberFormat="1" applyFont="1" applyFill="1" applyBorder="1" applyAlignment="1">
      <alignment horizontal="center"/>
    </xf>
    <xf numFmtId="37" fontId="10" fillId="0" borderId="37" xfId="0" applyNumberFormat="1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166" fontId="63" fillId="0" borderId="37" xfId="0" quotePrefix="1" applyNumberFormat="1" applyFont="1" applyBorder="1" applyAlignment="1">
      <alignment horizontal="center"/>
    </xf>
    <xf numFmtId="166" fontId="63" fillId="0" borderId="0" xfId="0" quotePrefix="1" applyNumberFormat="1" applyFont="1" applyAlignment="1">
      <alignment horizontal="center"/>
    </xf>
    <xf numFmtId="37" fontId="65" fillId="0" borderId="0" xfId="0" applyNumberFormat="1" applyFont="1" applyAlignment="1">
      <alignment horizontal="right"/>
    </xf>
    <xf numFmtId="0" fontId="10" fillId="0" borderId="3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5" fillId="0" borderId="37" xfId="0" quotePrefix="1" applyNumberFormat="1" applyFont="1" applyBorder="1" applyAlignment="1">
      <alignment horizontal="center" vertical="center"/>
    </xf>
    <xf numFmtId="37" fontId="12" fillId="0" borderId="39" xfId="0" applyNumberFormat="1" applyFont="1" applyBorder="1" applyAlignment="1">
      <alignment horizontal="center" vertical="center"/>
    </xf>
    <xf numFmtId="37" fontId="12" fillId="0" borderId="6" xfId="0" applyNumberFormat="1" applyFont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78" fontId="10" fillId="2" borderId="6" xfId="0" applyNumberFormat="1" applyFont="1" applyFill="1" applyBorder="1" applyAlignment="1">
      <alignment horizontal="center" vertical="center"/>
    </xf>
    <xf numFmtId="178" fontId="10" fillId="2" borderId="39" xfId="0" applyNumberFormat="1" applyFont="1" applyFill="1" applyBorder="1" applyAlignment="1">
      <alignment horizontal="center" vertical="center"/>
    </xf>
    <xf numFmtId="178" fontId="10" fillId="2" borderId="7" xfId="0" applyNumberFormat="1" applyFont="1" applyFill="1" applyBorder="1" applyAlignment="1">
      <alignment horizontal="center" vertical="center"/>
    </xf>
    <xf numFmtId="166" fontId="15" fillId="2" borderId="1" xfId="0" quotePrefix="1" applyNumberFormat="1" applyFont="1" applyFill="1" applyBorder="1" applyAlignment="1">
      <alignment horizontal="center" vertical="center"/>
    </xf>
    <xf numFmtId="166" fontId="63" fillId="2" borderId="40" xfId="0" applyNumberFormat="1" applyFont="1" applyFill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166" fontId="63" fillId="2" borderId="9" xfId="0" applyNumberFormat="1" applyFont="1" applyFill="1" applyBorder="1" applyAlignment="1">
      <alignment horizontal="center" vertical="center"/>
    </xf>
    <xf numFmtId="166" fontId="63" fillId="2" borderId="40" xfId="0" quotePrefix="1" applyNumberFormat="1" applyFont="1" applyFill="1" applyBorder="1" applyAlignment="1">
      <alignment horizontal="center" vertical="center"/>
    </xf>
    <xf numFmtId="166" fontId="63" fillId="2" borderId="1" xfId="0" quotePrefix="1" applyNumberFormat="1" applyFont="1" applyFill="1" applyBorder="1" applyAlignment="1">
      <alignment horizontal="center" vertical="center"/>
    </xf>
    <xf numFmtId="166" fontId="63" fillId="2" borderId="9" xfId="0" quotePrefix="1" applyNumberFormat="1" applyFont="1" applyFill="1" applyBorder="1" applyAlignment="1">
      <alignment horizontal="center" vertical="center"/>
    </xf>
    <xf numFmtId="0" fontId="0" fillId="0" borderId="3" xfId="0" applyBorder="1"/>
    <xf numFmtId="0" fontId="3" fillId="0" borderId="10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3" fillId="2" borderId="5" xfId="0" applyFont="1" applyFill="1" applyBorder="1" applyAlignment="1">
      <alignment horizontal="left"/>
    </xf>
    <xf numFmtId="0" fontId="60" fillId="2" borderId="8" xfId="0" applyFon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4" fillId="4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/>
    <xf numFmtId="0" fontId="4" fillId="4" borderId="11" xfId="0" applyFont="1" applyFill="1" applyBorder="1" applyAlignment="1">
      <alignment horizontal="center"/>
    </xf>
    <xf numFmtId="0" fontId="76" fillId="0" borderId="10" xfId="0" applyFont="1" applyBorder="1"/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12" borderId="10" xfId="0" applyFont="1" applyFill="1" applyBorder="1"/>
    <xf numFmtId="0" fontId="0" fillId="12" borderId="0" xfId="0" applyFill="1" applyAlignment="1">
      <alignment horizontal="left"/>
    </xf>
    <xf numFmtId="0" fontId="10" fillId="16" borderId="10" xfId="0" applyFont="1" applyFill="1" applyBorder="1"/>
    <xf numFmtId="0" fontId="0" fillId="16" borderId="0" xfId="0" applyFill="1" applyAlignment="1">
      <alignment horizontal="left"/>
    </xf>
    <xf numFmtId="0" fontId="0" fillId="0" borderId="11" xfId="0" applyBorder="1" applyAlignment="1">
      <alignment horizontal="center" vertical="center"/>
    </xf>
    <xf numFmtId="0" fontId="10" fillId="16" borderId="8" xfId="0" applyFont="1" applyFill="1" applyBorder="1"/>
    <xf numFmtId="0" fontId="0" fillId="16" borderId="1" xfId="0" applyFill="1" applyBorder="1" applyAlignment="1">
      <alignment horizontal="left"/>
    </xf>
    <xf numFmtId="39" fontId="12" fillId="2" borderId="27" xfId="0" applyNumberFormat="1" applyFont="1" applyFill="1" applyBorder="1" applyAlignment="1">
      <alignment horizontal="right"/>
    </xf>
    <xf numFmtId="0" fontId="16" fillId="0" borderId="0" xfId="0" applyFont="1" applyAlignment="1">
      <alignment horizontal="center" vertical="center"/>
    </xf>
    <xf numFmtId="39" fontId="57" fillId="0" borderId="0" xfId="0" applyNumberFormat="1" applyFont="1" applyAlignment="1">
      <alignment horizontal="right"/>
    </xf>
    <xf numFmtId="0" fontId="15" fillId="0" borderId="0" xfId="0" applyFont="1"/>
    <xf numFmtId="166" fontId="15" fillId="2" borderId="0" xfId="1" applyNumberFormat="1" applyFont="1" applyFill="1" applyBorder="1" applyAlignment="1">
      <alignment horizontal="center"/>
    </xf>
    <xf numFmtId="166" fontId="63" fillId="11" borderId="41" xfId="1" applyNumberFormat="1" applyFont="1" applyFill="1" applyBorder="1" applyAlignment="1">
      <alignment horizontal="center"/>
    </xf>
    <xf numFmtId="166" fontId="63" fillId="11" borderId="0" xfId="1" applyNumberFormat="1" applyFont="1" applyFill="1" applyBorder="1" applyAlignment="1">
      <alignment horizontal="center"/>
    </xf>
    <xf numFmtId="177" fontId="15" fillId="0" borderId="0" xfId="1" applyNumberFormat="1" applyFont="1" applyFill="1" applyBorder="1" applyAlignment="1">
      <alignment horizontal="left" vertical="center"/>
    </xf>
    <xf numFmtId="0" fontId="4" fillId="4" borderId="3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left" vertical="center"/>
    </xf>
    <xf numFmtId="37" fontId="0" fillId="0" borderId="40" xfId="0" applyNumberFormat="1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179" fontId="15" fillId="0" borderId="37" xfId="0" applyNumberFormat="1" applyFont="1" applyBorder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7" fillId="0" borderId="0" xfId="0" applyFont="1"/>
    <xf numFmtId="167" fontId="0" fillId="0" borderId="11" xfId="0" applyNumberFormat="1" applyBorder="1" applyAlignment="1">
      <alignment horizontal="right"/>
    </xf>
    <xf numFmtId="10" fontId="0" fillId="0" borderId="5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0" fontId="0" fillId="0" borderId="6" xfId="1" applyNumberFormat="1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64" fontId="4" fillId="0" borderId="0" xfId="1" applyNumberFormat="1" applyFont="1" applyBorder="1" applyAlignment="1">
      <alignment horizontal="left"/>
    </xf>
    <xf numFmtId="10" fontId="0" fillId="17" borderId="0" xfId="1" applyNumberFormat="1" applyFont="1" applyFill="1" applyBorder="1" applyAlignment="1">
      <alignment horizontal="center"/>
    </xf>
    <xf numFmtId="10" fontId="0" fillId="18" borderId="0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67" fontId="0" fillId="0" borderId="9" xfId="0" applyNumberFormat="1" applyBorder="1" applyAlignment="1">
      <alignment horizontal="right"/>
    </xf>
    <xf numFmtId="167" fontId="12" fillId="2" borderId="30" xfId="0" applyNumberFormat="1" applyFont="1" applyFill="1" applyBorder="1" applyAlignment="1">
      <alignment vertical="center"/>
    </xf>
    <xf numFmtId="2" fontId="3" fillId="2" borderId="33" xfId="0" applyNumberFormat="1" applyFont="1" applyFill="1" applyBorder="1" applyAlignment="1">
      <alignment vertical="center"/>
    </xf>
    <xf numFmtId="0" fontId="77" fillId="4" borderId="0" xfId="0" applyFont="1" applyFill="1"/>
    <xf numFmtId="166" fontId="0" fillId="0" borderId="0" xfId="0" applyNumberFormat="1" applyAlignment="1">
      <alignment horizontal="center"/>
    </xf>
    <xf numFmtId="10" fontId="20" fillId="0" borderId="0" xfId="1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9" fontId="22" fillId="0" borderId="0" xfId="1" applyFont="1" applyFill="1" applyAlignment="1">
      <alignment horizontal="center"/>
    </xf>
    <xf numFmtId="10" fontId="20" fillId="0" borderId="0" xfId="1" applyNumberFormat="1" applyFont="1" applyFill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68" fontId="21" fillId="0" borderId="0" xfId="1" applyNumberFormat="1" applyFont="1" applyAlignment="1">
      <alignment horizontal="center" vertical="center"/>
    </xf>
    <xf numFmtId="10" fontId="22" fillId="2" borderId="0" xfId="0" applyNumberFormat="1" applyFont="1" applyFill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73" fontId="16" fillId="0" borderId="0" xfId="0" applyNumberFormat="1" applyFont="1" applyAlignment="1">
      <alignment horizontal="center"/>
    </xf>
    <xf numFmtId="39" fontId="10" fillId="6" borderId="0" xfId="0" applyNumberFormat="1" applyFont="1" applyFill="1"/>
    <xf numFmtId="166" fontId="15" fillId="2" borderId="42" xfId="0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wrapText="1"/>
    </xf>
    <xf numFmtId="10" fontId="16" fillId="0" borderId="0" xfId="0" applyNumberFormat="1" applyFont="1" applyAlignment="1">
      <alignment horizontal="left" vertical="center"/>
    </xf>
    <xf numFmtId="37" fontId="12" fillId="0" borderId="0" xfId="0" applyNumberFormat="1" applyFont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7" fontId="12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80" fontId="26" fillId="6" borderId="0" xfId="0" applyNumberFormat="1" applyFont="1" applyFill="1"/>
    <xf numFmtId="164" fontId="65" fillId="0" borderId="0" xfId="1" applyNumberFormat="1" applyFont="1" applyBorder="1" applyAlignment="1">
      <alignment horizontal="center" vertical="center"/>
    </xf>
    <xf numFmtId="164" fontId="65" fillId="0" borderId="1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64" fontId="0" fillId="12" borderId="11" xfId="0" applyNumberFormat="1" applyFill="1" applyBorder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164" fontId="0" fillId="16" borderId="11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6" borderId="9" xfId="0" applyNumberFormat="1" applyFill="1" applyBorder="1" applyAlignment="1">
      <alignment horizontal="center" vertical="center"/>
    </xf>
    <xf numFmtId="181" fontId="0" fillId="0" borderId="0" xfId="0" applyNumberFormat="1"/>
    <xf numFmtId="10" fontId="63" fillId="0" borderId="0" xfId="1" applyNumberFormat="1" applyFont="1"/>
    <xf numFmtId="9" fontId="15" fillId="0" borderId="0" xfId="1" applyFont="1" applyBorder="1" applyAlignment="1">
      <alignment horizontal="center" vertical="center"/>
    </xf>
    <xf numFmtId="37" fontId="16" fillId="0" borderId="0" xfId="0" applyNumberFormat="1" applyFont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37" fontId="66" fillId="0" borderId="0" xfId="0" applyNumberFormat="1" applyFont="1" applyAlignment="1">
      <alignment horizontal="center"/>
    </xf>
    <xf numFmtId="37" fontId="66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67" fontId="66" fillId="2" borderId="29" xfId="0" applyNumberFormat="1" applyFont="1" applyFill="1" applyBorder="1" applyAlignment="1">
      <alignment horizontal="center" vertical="center"/>
    </xf>
    <xf numFmtId="10" fontId="66" fillId="2" borderId="0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/>
    <xf numFmtId="2" fontId="12" fillId="2" borderId="32" xfId="0" applyNumberFormat="1" applyFont="1" applyFill="1" applyBorder="1" applyAlignment="1">
      <alignment horizontal="center"/>
    </xf>
    <xf numFmtId="3" fontId="16" fillId="0" borderId="0" xfId="0" applyNumberFormat="1" applyFont="1"/>
    <xf numFmtId="9" fontId="0" fillId="0" borderId="0" xfId="1" applyFont="1" applyAlignment="1">
      <alignment horizontal="right"/>
    </xf>
    <xf numFmtId="10" fontId="3" fillId="2" borderId="4" xfId="1" applyNumberFormat="1" applyFont="1" applyFill="1" applyBorder="1"/>
    <xf numFmtId="10" fontId="15" fillId="0" borderId="0" xfId="1" applyNumberFormat="1" applyFont="1"/>
    <xf numFmtId="182" fontId="10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37" fontId="3" fillId="0" borderId="39" xfId="0" applyNumberFormat="1" applyFont="1" applyBorder="1" applyAlignment="1">
      <alignment horizontal="center" vertical="center"/>
    </xf>
    <xf numFmtId="10" fontId="10" fillId="0" borderId="37" xfId="0" applyNumberFormat="1" applyFont="1" applyBorder="1" applyAlignment="1">
      <alignment horizontal="center" vertical="center"/>
    </xf>
    <xf numFmtId="164" fontId="15" fillId="0" borderId="37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8" fontId="15" fillId="0" borderId="37" xfId="1" applyNumberFormat="1" applyFont="1" applyBorder="1" applyAlignment="1">
      <alignment horizontal="center" vertical="center"/>
    </xf>
    <xf numFmtId="168" fontId="15" fillId="0" borderId="0" xfId="1" applyNumberFormat="1" applyFont="1" applyAlignment="1">
      <alignment horizontal="center" vertical="center"/>
    </xf>
    <xf numFmtId="0" fontId="78" fillId="0" borderId="0" xfId="0" applyFont="1"/>
    <xf numFmtId="0" fontId="26" fillId="6" borderId="0" xfId="0" applyFont="1" applyFill="1" applyAlignment="1">
      <alignment horizontal="left"/>
    </xf>
    <xf numFmtId="10" fontId="65" fillId="0" borderId="0" xfId="0" applyNumberFormat="1" applyFont="1"/>
    <xf numFmtId="167" fontId="10" fillId="0" borderId="1" xfId="0" applyNumberFormat="1" applyFont="1" applyBorder="1"/>
    <xf numFmtId="37" fontId="12" fillId="0" borderId="4" xfId="0" applyNumberFormat="1" applyFont="1" applyBorder="1"/>
    <xf numFmtId="1" fontId="10" fillId="0" borderId="0" xfId="0" applyNumberFormat="1" applyFont="1"/>
    <xf numFmtId="10" fontId="12" fillId="2" borderId="35" xfId="1" applyNumberFormat="1" applyFont="1" applyFill="1" applyBorder="1" applyAlignment="1">
      <alignment vertical="center"/>
    </xf>
    <xf numFmtId="0" fontId="44" fillId="19" borderId="0" xfId="0" applyFont="1" applyFill="1" applyAlignment="1">
      <alignment horizontal="left" vertical="center"/>
    </xf>
    <xf numFmtId="0" fontId="45" fillId="19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center"/>
    </xf>
    <xf numFmtId="0" fontId="26" fillId="6" borderId="25" xfId="0" applyFont="1" applyFill="1" applyBorder="1" applyAlignment="1">
      <alignment horizontal="left"/>
    </xf>
    <xf numFmtId="3" fontId="26" fillId="6" borderId="25" xfId="0" applyNumberFormat="1" applyFont="1" applyFill="1" applyBorder="1"/>
    <xf numFmtId="3" fontId="81" fillId="0" borderId="0" xfId="0" applyNumberFormat="1" applyFont="1" applyAlignment="1">
      <alignment horizontal="center"/>
    </xf>
    <xf numFmtId="9" fontId="82" fillId="0" borderId="0" xfId="1" applyFont="1" applyFill="1" applyAlignment="1">
      <alignment horizontal="center"/>
    </xf>
    <xf numFmtId="0" fontId="81" fillId="0" borderId="0" xfId="0" applyFont="1" applyAlignment="1">
      <alignment horizontal="center"/>
    </xf>
    <xf numFmtId="10" fontId="82" fillId="0" borderId="0" xfId="1" applyNumberFormat="1" applyFont="1" applyFill="1" applyAlignment="1">
      <alignment horizontal="center"/>
    </xf>
    <xf numFmtId="0" fontId="81" fillId="4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 vertical="center"/>
    </xf>
    <xf numFmtId="0" fontId="13" fillId="0" borderId="37" xfId="0" applyFont="1" applyBorder="1"/>
    <xf numFmtId="0" fontId="13" fillId="0" borderId="46" xfId="0" applyFont="1" applyBorder="1"/>
    <xf numFmtId="0" fontId="29" fillId="5" borderId="37" xfId="0" applyFont="1" applyFill="1" applyBorder="1"/>
    <xf numFmtId="0" fontId="13" fillId="2" borderId="37" xfId="0" applyFont="1" applyFill="1" applyBorder="1"/>
    <xf numFmtId="0" fontId="13" fillId="10" borderId="37" xfId="0" applyFont="1" applyFill="1" applyBorder="1"/>
    <xf numFmtId="0" fontId="13" fillId="6" borderId="37" xfId="0" applyFont="1" applyFill="1" applyBorder="1"/>
    <xf numFmtId="0" fontId="0" fillId="2" borderId="37" xfId="0" applyFill="1" applyBorder="1"/>
    <xf numFmtId="0" fontId="30" fillId="10" borderId="37" xfId="0" applyFont="1" applyFill="1" applyBorder="1"/>
    <xf numFmtId="10" fontId="10" fillId="2" borderId="0" xfId="0" applyNumberFormat="1" applyFont="1" applyFill="1" applyAlignment="1">
      <alignment horizontal="center" vertical="center"/>
    </xf>
    <xf numFmtId="4" fontId="76" fillId="0" borderId="0" xfId="0" applyNumberFormat="1" applyFont="1"/>
    <xf numFmtId="0" fontId="13" fillId="4" borderId="46" xfId="0" applyFont="1" applyFill="1" applyBorder="1"/>
    <xf numFmtId="9" fontId="13" fillId="2" borderId="46" xfId="1" applyFont="1" applyFill="1" applyBorder="1"/>
    <xf numFmtId="37" fontId="10" fillId="10" borderId="46" xfId="0" applyNumberFormat="1" applyFont="1" applyFill="1" applyBorder="1"/>
    <xf numFmtId="37" fontId="13" fillId="6" borderId="46" xfId="0" applyNumberFormat="1" applyFont="1" applyFill="1" applyBorder="1"/>
    <xf numFmtId="2" fontId="13" fillId="2" borderId="46" xfId="0" applyNumberFormat="1" applyFont="1" applyFill="1" applyBorder="1"/>
    <xf numFmtId="2" fontId="13" fillId="2" borderId="46" xfId="1" applyNumberFormat="1" applyFont="1" applyFill="1" applyBorder="1"/>
    <xf numFmtId="0" fontId="13" fillId="2" borderId="46" xfId="0" applyFont="1" applyFill="1" applyBorder="1"/>
    <xf numFmtId="10" fontId="30" fillId="10" borderId="46" xfId="0" applyNumberFormat="1" applyFont="1" applyFill="1" applyBorder="1"/>
    <xf numFmtId="10" fontId="10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3" fontId="10" fillId="10" borderId="0" xfId="0" applyNumberFormat="1" applyFont="1" applyFill="1" applyAlignment="1">
      <alignment horizontal="center"/>
    </xf>
    <xf numFmtId="39" fontId="10" fillId="10" borderId="0" xfId="0" applyNumberFormat="1" applyFont="1" applyFill="1" applyAlignment="1">
      <alignment horizontal="center"/>
    </xf>
    <xf numFmtId="2" fontId="10" fillId="10" borderId="0" xfId="0" applyNumberFormat="1" applyFont="1" applyFill="1" applyAlignment="1">
      <alignment horizontal="center"/>
    </xf>
    <xf numFmtId="10" fontId="10" fillId="6" borderId="0" xfId="0" applyNumberFormat="1" applyFont="1" applyFill="1" applyAlignment="1">
      <alignment horizontal="center"/>
    </xf>
    <xf numFmtId="0" fontId="0" fillId="2" borderId="46" xfId="0" applyFill="1" applyBorder="1"/>
    <xf numFmtId="0" fontId="2" fillId="21" borderId="43" xfId="0" applyFont="1" applyFill="1" applyBorder="1"/>
    <xf numFmtId="0" fontId="4" fillId="21" borderId="44" xfId="0" applyFont="1" applyFill="1" applyBorder="1" applyAlignment="1">
      <alignment horizontal="center"/>
    </xf>
    <xf numFmtId="0" fontId="2" fillId="21" borderId="44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4" fillId="4" borderId="45" xfId="0" applyFont="1" applyFill="1" applyBorder="1" applyAlignment="1">
      <alignment horizontal="center"/>
    </xf>
    <xf numFmtId="0" fontId="12" fillId="10" borderId="37" xfId="0" applyFont="1" applyFill="1" applyBorder="1"/>
    <xf numFmtId="10" fontId="10" fillId="10" borderId="46" xfId="0" applyNumberFormat="1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3" fontId="10" fillId="10" borderId="46" xfId="0" applyNumberFormat="1" applyFont="1" applyFill="1" applyBorder="1" applyAlignment="1">
      <alignment horizontal="center"/>
    </xf>
    <xf numFmtId="39" fontId="10" fillId="10" borderId="46" xfId="0" applyNumberFormat="1" applyFont="1" applyFill="1" applyBorder="1" applyAlignment="1">
      <alignment horizontal="center"/>
    </xf>
    <xf numFmtId="2" fontId="10" fillId="10" borderId="46" xfId="0" applyNumberFormat="1" applyFont="1" applyFill="1" applyBorder="1" applyAlignment="1">
      <alignment horizontal="center"/>
    </xf>
    <xf numFmtId="10" fontId="10" fillId="6" borderId="46" xfId="0" applyNumberFormat="1" applyFont="1" applyFill="1" applyBorder="1" applyAlignment="1">
      <alignment horizontal="center"/>
    </xf>
    <xf numFmtId="0" fontId="12" fillId="10" borderId="47" xfId="0" applyFont="1" applyFill="1" applyBorder="1"/>
    <xf numFmtId="10" fontId="12" fillId="6" borderId="25" xfId="0" applyNumberFormat="1" applyFont="1" applyFill="1" applyBorder="1" applyAlignment="1">
      <alignment horizontal="center"/>
    </xf>
    <xf numFmtId="10" fontId="12" fillId="6" borderId="48" xfId="0" applyNumberFormat="1" applyFont="1" applyFill="1" applyBorder="1" applyAlignment="1">
      <alignment horizontal="center"/>
    </xf>
    <xf numFmtId="0" fontId="85" fillId="0" borderId="0" xfId="0" applyFont="1"/>
    <xf numFmtId="0" fontId="86" fillId="0" borderId="0" xfId="0" applyFont="1"/>
    <xf numFmtId="0" fontId="86" fillId="0" borderId="0" xfId="0" applyFont="1" applyAlignment="1">
      <alignment horizontal="center"/>
    </xf>
    <xf numFmtId="4" fontId="86" fillId="0" borderId="0" xfId="0" applyNumberFormat="1" applyFont="1"/>
    <xf numFmtId="168" fontId="87" fillId="0" borderId="0" xfId="1" applyNumberFormat="1" applyFont="1" applyFill="1" applyAlignment="1">
      <alignment horizontal="center"/>
    </xf>
    <xf numFmtId="0" fontId="86" fillId="0" borderId="0" xfId="0" applyFont="1" applyAlignment="1">
      <alignment horizontal="center" vertical="center"/>
    </xf>
    <xf numFmtId="168" fontId="87" fillId="0" borderId="0" xfId="1" applyNumberFormat="1" applyFont="1" applyFill="1" applyAlignment="1">
      <alignment horizontal="center" vertical="center"/>
    </xf>
    <xf numFmtId="0" fontId="70" fillId="2" borderId="0" xfId="0" applyFont="1" applyFill="1"/>
    <xf numFmtId="0" fontId="71" fillId="2" borderId="0" xfId="0" applyFont="1" applyFill="1"/>
    <xf numFmtId="0" fontId="68" fillId="22" borderId="0" xfId="0" applyFont="1" applyFill="1"/>
    <xf numFmtId="0" fontId="69" fillId="22" borderId="0" xfId="0" applyFont="1" applyFill="1"/>
    <xf numFmtId="0" fontId="0" fillId="22" borderId="0" xfId="0" applyFill="1"/>
    <xf numFmtId="0" fontId="16" fillId="22" borderId="0" xfId="0" applyFont="1" applyFill="1"/>
    <xf numFmtId="2" fontId="0" fillId="0" borderId="0" xfId="1" applyNumberFormat="1" applyFont="1"/>
    <xf numFmtId="166" fontId="0" fillId="0" borderId="0" xfId="0" applyNumberFormat="1"/>
    <xf numFmtId="0" fontId="20" fillId="0" borderId="0" xfId="0" applyFont="1" applyAlignment="1">
      <alignment horizontal="center" vertical="center"/>
    </xf>
    <xf numFmtId="9" fontId="20" fillId="0" borderId="37" xfId="1" applyFont="1" applyBorder="1" applyAlignment="1">
      <alignment horizontal="center" vertical="center"/>
    </xf>
    <xf numFmtId="9" fontId="20" fillId="0" borderId="0" xfId="1" applyFont="1" applyBorder="1" applyAlignment="1">
      <alignment horizontal="center" vertical="center"/>
    </xf>
    <xf numFmtId="9" fontId="13" fillId="0" borderId="1" xfId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79" fillId="0" borderId="0" xfId="0" applyFont="1" applyAlignment="1">
      <alignment vertical="center"/>
    </xf>
    <xf numFmtId="0" fontId="80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0" fillId="2" borderId="0" xfId="0" applyFill="1" applyAlignment="1">
      <alignment horizontal="right"/>
    </xf>
    <xf numFmtId="0" fontId="16" fillId="5" borderId="0" xfId="0" applyFont="1" applyFill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10" fontId="16" fillId="0" borderId="0" xfId="1" applyNumberFormat="1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0" fontId="16" fillId="0" borderId="0" xfId="1" applyNumberFormat="1" applyFont="1" applyBorder="1" applyAlignment="1">
      <alignment horizontal="center"/>
    </xf>
    <xf numFmtId="10" fontId="16" fillId="0" borderId="11" xfId="1" applyNumberFormat="1" applyFont="1" applyBorder="1" applyAlignment="1">
      <alignment horizontal="center"/>
    </xf>
    <xf numFmtId="0" fontId="66" fillId="0" borderId="14" xfId="0" applyFont="1" applyBorder="1" applyAlignment="1">
      <alignment horizontal="center"/>
    </xf>
    <xf numFmtId="10" fontId="66" fillId="0" borderId="16" xfId="0" applyNumberFormat="1" applyFont="1" applyBorder="1" applyAlignment="1">
      <alignment horizontal="center"/>
    </xf>
    <xf numFmtId="166" fontId="64" fillId="0" borderId="37" xfId="0" quotePrefix="1" applyNumberFormat="1" applyFont="1" applyBorder="1" applyAlignment="1">
      <alignment horizontal="center"/>
    </xf>
    <xf numFmtId="10" fontId="26" fillId="6" borderId="0" xfId="0" applyNumberFormat="1" applyFont="1" applyFill="1"/>
    <xf numFmtId="0" fontId="88" fillId="6" borderId="0" xfId="0" applyFont="1" applyFill="1"/>
    <xf numFmtId="0" fontId="0" fillId="0" borderId="0" xfId="0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77" fontId="15" fillId="0" borderId="10" xfId="1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6" fillId="6" borderId="0" xfId="0" applyFont="1" applyFill="1" applyAlignment="1">
      <alignment horizontal="left"/>
    </xf>
    <xf numFmtId="0" fontId="13" fillId="20" borderId="43" xfId="0" applyFont="1" applyFill="1" applyBorder="1" applyAlignment="1">
      <alignment horizontal="center"/>
    </xf>
    <xf numFmtId="0" fontId="13" fillId="20" borderId="45" xfId="0" applyFont="1" applyFill="1" applyBorder="1" applyAlignment="1">
      <alignment horizontal="center"/>
    </xf>
    <xf numFmtId="0" fontId="29" fillId="5" borderId="0" xfId="0" applyFont="1" applyFill="1" applyAlignment="1">
      <alignment horizontal="center"/>
    </xf>
    <xf numFmtId="0" fontId="29" fillId="5" borderId="0" xfId="0" applyFont="1" applyFill="1" applyAlignment="1">
      <alignment horizontal="center" vertical="center"/>
    </xf>
    <xf numFmtId="0" fontId="12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/>
    <xf numFmtId="174" fontId="10" fillId="0" borderId="0" xfId="0" applyNumberFormat="1" applyFont="1" applyFill="1" applyBorder="1" applyAlignment="1">
      <alignment horizontal="center"/>
    </xf>
    <xf numFmtId="10" fontId="10" fillId="0" borderId="0" xfId="0" applyNumberFormat="1" applyFont="1" applyFill="1" applyBorder="1" applyAlignment="1">
      <alignment horizontal="center"/>
    </xf>
    <xf numFmtId="0" fontId="15" fillId="0" borderId="0" xfId="0" applyFont="1" applyFill="1" applyBorder="1"/>
    <xf numFmtId="0" fontId="20" fillId="0" borderId="0" xfId="0" applyFont="1" applyBorder="1"/>
    <xf numFmtId="0" fontId="16" fillId="0" borderId="0" xfId="0" applyFont="1" applyBorder="1"/>
    <xf numFmtId="3" fontId="10" fillId="0" borderId="0" xfId="0" applyNumberFormat="1" applyFont="1" applyFill="1" applyBorder="1" applyAlignment="1">
      <alignment horizontal="center"/>
    </xf>
    <xf numFmtId="10" fontId="10" fillId="0" borderId="0" xfId="0" applyNumberFormat="1" applyFont="1" applyFill="1" applyBorder="1"/>
    <xf numFmtId="10" fontId="15" fillId="0" borderId="0" xfId="0" applyNumberFormat="1" applyFont="1" applyFill="1" applyBorder="1"/>
    <xf numFmtId="9" fontId="7" fillId="0" borderId="0" xfId="1" applyNumberFormat="1" applyFont="1"/>
  </cellXfs>
  <cellStyles count="7">
    <cellStyle name="Comma" xfId="5" builtinId="3"/>
    <cellStyle name="Hyperlink" xfId="2" builtinId="8"/>
    <cellStyle name="Normal" xfId="0" builtinId="0"/>
    <cellStyle name="Normal 2" xfId="6" xr:uid="{4D34CD9C-39D6-954E-A915-CBF67B960BBB}"/>
    <cellStyle name="Percent" xfId="1" builtinId="5"/>
    <cellStyle name="StockPriceClosed" xfId="4" xr:uid="{EDE5A95E-CB2C-E845-B5BE-89A6AD7F1003}"/>
    <cellStyle name="StockPriceDate" xfId="3" xr:uid="{7EB196D5-BEBC-D344-81F4-2915DE81C23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264535</xdr:colOff>
      <xdr:row>38</xdr:row>
      <xdr:rowOff>18815</xdr:rowOff>
    </xdr:from>
    <xdr:to>
      <xdr:col>15</xdr:col>
      <xdr:colOff>801089</xdr:colOff>
      <xdr:row>40</xdr:row>
      <xdr:rowOff>54490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3BF300-1AD8-6F00-C6A5-0B3FA134CF37}"/>
            </a:ext>
          </a:extLst>
        </xdr:cNvPr>
        <xdr:cNvSpPr txBox="1"/>
      </xdr:nvSpPr>
      <xdr:spPr>
        <a:xfrm>
          <a:off x="8853498" y="7356593"/>
          <a:ext cx="5785887" cy="411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We assume debt and intrest cost will remain the same going foward as in 2029 (we should include the "buyers" debt shield. </a:t>
          </a:r>
          <a:r>
            <a:rPr lang="en-US" sz="1000" u="sng"/>
            <a:t>28 % debt level</a:t>
          </a:r>
          <a:r>
            <a:rPr lang="en-US" sz="1000"/>
            <a:t> based on the APVs market value / 2029E total debt. mayeb go higher? </a:t>
          </a:r>
        </a:p>
        <a:p>
          <a:endParaRPr 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440972</xdr:colOff>
      <xdr:row>19</xdr:row>
      <xdr:rowOff>35277</xdr:rowOff>
    </xdr:from>
    <xdr:to>
      <xdr:col>5</xdr:col>
      <xdr:colOff>767291</xdr:colOff>
      <xdr:row>22</xdr:row>
      <xdr:rowOff>123472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7EB2BE-A5E3-7987-98A4-0E072E8A3806}"/>
            </a:ext>
          </a:extLst>
        </xdr:cNvPr>
        <xdr:cNvSpPr txBox="1"/>
      </xdr:nvSpPr>
      <xdr:spPr>
        <a:xfrm>
          <a:off x="3933472" y="3730624"/>
          <a:ext cx="1807986" cy="670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Aswath Damodaran the Poland's equity risk premium is 5.84%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17</xdr:row>
      <xdr:rowOff>71120</xdr:rowOff>
    </xdr:from>
    <xdr:to>
      <xdr:col>10</xdr:col>
      <xdr:colOff>304800</xdr:colOff>
      <xdr:row>25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EF3770-32BA-1334-A125-D836E427BC9B}"/>
            </a:ext>
          </a:extLst>
        </xdr:cNvPr>
        <xdr:cNvSpPr txBox="1"/>
      </xdr:nvSpPr>
      <xdr:spPr>
        <a:xfrm>
          <a:off x="4074082" y="3367303"/>
          <a:ext cx="4829878" cy="1510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Warsaw Stock Exchange WIG INDEX </a:t>
          </a:r>
          <a:r>
            <a:rPr lang="en-US" sz="1100"/>
            <a:t>is a total return index which includes dividends and pre-emptive rights (subscription rights). Index includes all companies listed on the main market, excluding foreign companies and investment funds.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/>
            <a:t>Source: Bloomberg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gpw.pl/gpw-ke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F450-1FE9-0044-A231-BC171AB13CE9}">
  <sheetPr>
    <tabColor theme="9"/>
  </sheetPr>
  <dimension ref="A2:U200"/>
  <sheetViews>
    <sheetView showGridLines="0" tabSelected="1" zoomScale="75" zoomScaleNormal="131" workbookViewId="0">
      <selection activeCell="R193" sqref="R193"/>
    </sheetView>
  </sheetViews>
  <sheetFormatPr baseColWidth="10" defaultColWidth="15.6640625" defaultRowHeight="15" x14ac:dyDescent="0.2"/>
  <cols>
    <col min="1" max="1" width="3.6640625" style="1" customWidth="1"/>
    <col min="3" max="3" width="16.5" customWidth="1"/>
    <col min="4" max="6" width="15.6640625" customWidth="1"/>
    <col min="7" max="7" width="15.5" customWidth="1"/>
    <col min="8" max="8" width="18.33203125" customWidth="1"/>
    <col min="10" max="10" width="19" customWidth="1"/>
    <col min="11" max="11" width="13.33203125" customWidth="1"/>
    <col min="13" max="13" width="2.6640625" customWidth="1"/>
    <col min="14" max="14" width="15.6640625" customWidth="1"/>
    <col min="15" max="15" width="14" customWidth="1"/>
    <col min="16" max="16" width="10" customWidth="1"/>
    <col min="17" max="17" width="11.1640625" customWidth="1"/>
    <col min="18" max="18" width="12.1640625" customWidth="1"/>
    <col min="19" max="19" width="11.5" customWidth="1"/>
    <col min="20" max="20" width="10.5" customWidth="1"/>
    <col min="21" max="21" width="12.33203125" customWidth="1"/>
  </cols>
  <sheetData>
    <row r="2" spans="1:21" s="154" customFormat="1" ht="21" x14ac:dyDescent="0.25">
      <c r="A2" s="152"/>
      <c r="B2" s="153" t="s">
        <v>224</v>
      </c>
    </row>
    <row r="4" spans="1:21" x14ac:dyDescent="0.2">
      <c r="A4" s="1" t="s">
        <v>225</v>
      </c>
      <c r="B4" s="20" t="s">
        <v>226</v>
      </c>
      <c r="C4" s="20"/>
      <c r="D4" s="20"/>
      <c r="E4" s="20"/>
      <c r="F4" s="20"/>
      <c r="G4" s="20"/>
      <c r="H4" s="20"/>
      <c r="I4" s="20"/>
      <c r="J4" s="20"/>
      <c r="K4" s="20"/>
      <c r="L4" s="30"/>
      <c r="O4" s="305"/>
      <c r="P4" s="306"/>
      <c r="Q4" s="306"/>
      <c r="R4" s="307" t="s">
        <v>227</v>
      </c>
      <c r="S4" s="306"/>
      <c r="T4" s="306"/>
      <c r="U4" s="308"/>
    </row>
    <row r="5" spans="1:21" x14ac:dyDescent="0.2">
      <c r="K5" s="2" t="s">
        <v>228</v>
      </c>
      <c r="L5" s="155">
        <f ca="1">L186</f>
        <v>0.30275499974232067</v>
      </c>
      <c r="O5" s="176" t="s">
        <v>229</v>
      </c>
      <c r="P5" s="298"/>
      <c r="Q5" s="304" t="s">
        <v>230</v>
      </c>
      <c r="R5" t="s">
        <v>231</v>
      </c>
      <c r="T5" s="1"/>
      <c r="U5" s="111"/>
    </row>
    <row r="6" spans="1:21" x14ac:dyDescent="0.2">
      <c r="O6" s="112"/>
      <c r="U6" s="111"/>
    </row>
    <row r="7" spans="1:21" x14ac:dyDescent="0.2">
      <c r="B7" s="20" t="s">
        <v>232</v>
      </c>
      <c r="C7" s="20"/>
      <c r="D7" s="20"/>
      <c r="E7" s="20"/>
      <c r="F7" s="20"/>
      <c r="G7" s="20"/>
      <c r="H7" s="20"/>
      <c r="I7" s="20"/>
      <c r="J7" s="20"/>
      <c r="K7" s="20"/>
      <c r="L7" s="30"/>
      <c r="O7" s="112"/>
      <c r="Q7" s="33" t="s">
        <v>179</v>
      </c>
      <c r="R7" s="33" t="s">
        <v>196</v>
      </c>
      <c r="S7" s="33" t="s">
        <v>197</v>
      </c>
      <c r="T7" s="33" t="s">
        <v>198</v>
      </c>
      <c r="U7" s="309" t="s">
        <v>199</v>
      </c>
    </row>
    <row r="8" spans="1:21" ht="4" customHeight="1" x14ac:dyDescent="0.2">
      <c r="O8" s="112"/>
      <c r="U8" s="111"/>
    </row>
    <row r="9" spans="1:21" x14ac:dyDescent="0.2">
      <c r="B9" s="20" t="s">
        <v>233</v>
      </c>
      <c r="C9" s="20"/>
      <c r="D9" s="20"/>
      <c r="E9" s="20"/>
      <c r="I9" s="20" t="s">
        <v>234</v>
      </c>
      <c r="J9" s="20"/>
      <c r="K9" s="20"/>
      <c r="L9" s="20"/>
      <c r="O9" s="299" t="s">
        <v>235</v>
      </c>
      <c r="P9" s="29"/>
      <c r="Q9" s="379">
        <f>INDEX(Q14:Q16, MATCH($Q$5, {"Base case";"Bull case";"Bear case"}, 0))</f>
        <v>0.221</v>
      </c>
      <c r="R9" s="379">
        <f>INDEX(R14:R16, MATCH($Q$5, {"Base case";"Bull case";"Bear case"}, 0))</f>
        <v>0.11799999999999999</v>
      </c>
      <c r="S9" s="379">
        <f>INDEX(S14:S16, MATCH($Q$5, {"Base case";"Bull case";"Bear case"}, 0))</f>
        <v>0.111</v>
      </c>
      <c r="T9" s="379">
        <f>INDEX(T14:T16, MATCH($Q$5, {"Base case";"Bull case";"Bear case"}, 0))</f>
        <v>0.104</v>
      </c>
      <c r="U9" s="380">
        <f>INDEX(U14:U16, MATCH($Q$5, {"Base case";"Bull case";"Bear case"}, 0))</f>
        <v>0.105</v>
      </c>
    </row>
    <row r="10" spans="1:21" x14ac:dyDescent="0.2">
      <c r="B10" t="s">
        <v>236</v>
      </c>
      <c r="E10" s="213" t="s">
        <v>237</v>
      </c>
      <c r="I10" s="2" t="s">
        <v>238</v>
      </c>
      <c r="L10" s="321">
        <f>E11*(1+L11)</f>
        <v>404.58150000000001</v>
      </c>
      <c r="O10" s="299" t="s">
        <v>239</v>
      </c>
      <c r="P10" s="29"/>
      <c r="Q10" s="379">
        <f>INDEX(Q19:Q21, MATCH($Q$5, {"Base case";"Bull case";"Bear case"}, 0))</f>
        <v>0.46899999999999997</v>
      </c>
      <c r="R10" s="379">
        <f>INDEX(R19:R21, MATCH($Q$5, {"Base case";"Bull case";"Bear case"}, 0))</f>
        <v>0.48499999999999999</v>
      </c>
      <c r="S10" s="379">
        <f>INDEX(S19:S21, MATCH($Q$5, {"Base case";"Bull case";"Bear case"}, 0))</f>
        <v>0.48699999999999999</v>
      </c>
      <c r="T10" s="379">
        <f>INDEX(T19:T21, MATCH($Q$5, {"Base case";"Bull case";"Bear case"}, 0))</f>
        <v>0.48699999999999999</v>
      </c>
      <c r="U10" s="380">
        <f>INDEX(U19:U21, MATCH($Q$5, {"Base case";"Bull case";"Bear case"}, 0))</f>
        <v>0.48699999999999999</v>
      </c>
    </row>
    <row r="11" spans="1:21" x14ac:dyDescent="0.2">
      <c r="B11" t="s">
        <v>240</v>
      </c>
      <c r="E11" s="213">
        <v>310.5</v>
      </c>
      <c r="I11" s="3" t="s">
        <v>241</v>
      </c>
      <c r="L11" s="544">
        <v>0.30299999999999999</v>
      </c>
      <c r="O11" s="299" t="s">
        <v>242</v>
      </c>
      <c r="Q11" s="379">
        <f>INDEX(Q24:Q26, MATCH($Q$5, {"Base case";"Bull case";"Bear case"}, 0))</f>
        <v>7.153542944997042E-2</v>
      </c>
      <c r="R11" s="379">
        <f>INDEX(R24:R26, MATCH($Q$5, {"Base case";"Bull case";"Bear case"}, 0))</f>
        <v>7.153542944997042E-2</v>
      </c>
      <c r="S11" s="379">
        <f>INDEX(S24:S26, MATCH($Q$5, {"Base case";"Bull case";"Bear case"}, 0))</f>
        <v>7.153542944997042E-2</v>
      </c>
      <c r="T11" s="379">
        <f>INDEX(T24:T26, MATCH($Q$5, {"Base case";"Bull case";"Bear case"}, 0))</f>
        <v>7.153542944997042E-2</v>
      </c>
      <c r="U11" s="380">
        <f>INDEX(U24:U26, MATCH($Q$5, {"Base case";"Bull case";"Bear case"}, 0))</f>
        <v>7.153542944997042E-2</v>
      </c>
    </row>
    <row r="12" spans="1:21" x14ac:dyDescent="0.2">
      <c r="B12" t="s">
        <v>243</v>
      </c>
      <c r="E12" s="214">
        <v>45384</v>
      </c>
      <c r="O12" s="310"/>
      <c r="U12" s="111"/>
    </row>
    <row r="13" spans="1:21" x14ac:dyDescent="0.2">
      <c r="B13" t="s">
        <v>244</v>
      </c>
      <c r="E13" s="216">
        <f>((E11*L14)-L16+L17)/L20</f>
        <v>7.9545690359153252</v>
      </c>
      <c r="G13" s="377"/>
      <c r="I13" s="2" t="s">
        <v>245</v>
      </c>
      <c r="L13" s="156">
        <f>L10*L14</f>
        <v>1421.2482826275</v>
      </c>
      <c r="N13" s="497" t="s">
        <v>246</v>
      </c>
      <c r="O13" s="311" t="s">
        <v>247</v>
      </c>
      <c r="P13" s="32"/>
      <c r="Q13" s="31" t="s">
        <v>179</v>
      </c>
      <c r="R13" s="31" t="s">
        <v>196</v>
      </c>
      <c r="S13" s="31" t="s">
        <v>197</v>
      </c>
      <c r="T13" s="31" t="s">
        <v>198</v>
      </c>
      <c r="U13" s="312" t="s">
        <v>199</v>
      </c>
    </row>
    <row r="14" spans="1:21" x14ac:dyDescent="0.2">
      <c r="B14" t="s">
        <v>248</v>
      </c>
      <c r="E14" s="213">
        <f>E11*L14</f>
        <v>1090.7507925</v>
      </c>
      <c r="I14" t="s">
        <v>217</v>
      </c>
      <c r="L14" s="323">
        <f>3512885/1000000</f>
        <v>3.5128849999999998</v>
      </c>
      <c r="O14" s="313" t="s">
        <v>230</v>
      </c>
      <c r="P14" s="300"/>
      <c r="Q14" s="381">
        <v>0.221</v>
      </c>
      <c r="R14" s="381">
        <v>0.11799999999999999</v>
      </c>
      <c r="S14" s="381">
        <v>0.111</v>
      </c>
      <c r="T14" s="381">
        <v>0.104</v>
      </c>
      <c r="U14" s="382">
        <v>0.105</v>
      </c>
    </row>
    <row r="15" spans="1:21" x14ac:dyDescent="0.2">
      <c r="G15" s="6"/>
      <c r="O15" s="314" t="s">
        <v>249</v>
      </c>
      <c r="P15" s="315"/>
      <c r="Q15" s="383">
        <f>Q14+0.02</f>
        <v>0.24099999999999999</v>
      </c>
      <c r="R15" s="383">
        <f t="shared" ref="R15:U15" si="0">R14+0.02</f>
        <v>0.13799999999999998</v>
      </c>
      <c r="S15" s="383">
        <f t="shared" si="0"/>
        <v>0.13100000000000001</v>
      </c>
      <c r="T15" s="383">
        <f t="shared" si="0"/>
        <v>0.124</v>
      </c>
      <c r="U15" s="384">
        <f t="shared" si="0"/>
        <v>0.125</v>
      </c>
    </row>
    <row r="16" spans="1:21" x14ac:dyDescent="0.2">
      <c r="B16" s="20" t="s">
        <v>250</v>
      </c>
      <c r="C16" s="20"/>
      <c r="D16" s="20"/>
      <c r="E16" s="20"/>
      <c r="F16" s="389"/>
      <c r="I16" s="3" t="s">
        <v>189</v>
      </c>
      <c r="L16" s="157">
        <f>E18</f>
        <v>142.31100000000001</v>
      </c>
      <c r="O16" s="316" t="s">
        <v>251</v>
      </c>
      <c r="P16" s="317"/>
      <c r="Q16" s="385">
        <f>Q14-0.02</f>
        <v>0.20100000000000001</v>
      </c>
      <c r="R16" s="385">
        <f t="shared" ref="R16:U16" si="1">R14-0.02</f>
        <v>9.799999999999999E-2</v>
      </c>
      <c r="S16" s="385">
        <f t="shared" si="1"/>
        <v>9.0999999999999998E-2</v>
      </c>
      <c r="T16" s="385">
        <f t="shared" si="1"/>
        <v>8.3999999999999991E-2</v>
      </c>
      <c r="U16" s="386">
        <f t="shared" si="1"/>
        <v>8.4999999999999992E-2</v>
      </c>
    </row>
    <row r="17" spans="1:21" x14ac:dyDescent="0.2">
      <c r="B17" t="s">
        <v>20</v>
      </c>
      <c r="E17" s="213">
        <f>'Financials Data'!L7</f>
        <v>126.13</v>
      </c>
      <c r="G17" s="389"/>
      <c r="I17" s="3" t="s">
        <v>252</v>
      </c>
      <c r="L17" s="157">
        <f>E19</f>
        <v>54.87</v>
      </c>
      <c r="O17" s="112"/>
      <c r="Q17" s="190"/>
      <c r="R17" s="190"/>
      <c r="S17" s="190"/>
      <c r="T17" s="190"/>
      <c r="U17" s="318"/>
    </row>
    <row r="18" spans="1:21" x14ac:dyDescent="0.2">
      <c r="B18" t="s">
        <v>189</v>
      </c>
      <c r="E18" s="215">
        <f>142.311</f>
        <v>142.31100000000001</v>
      </c>
      <c r="O18" s="311" t="s">
        <v>239</v>
      </c>
      <c r="P18" s="30"/>
      <c r="Q18" s="31" t="s">
        <v>179</v>
      </c>
      <c r="R18" s="31" t="s">
        <v>196</v>
      </c>
      <c r="S18" s="31" t="s">
        <v>197</v>
      </c>
      <c r="T18" s="31" t="s">
        <v>198</v>
      </c>
      <c r="U18" s="312" t="s">
        <v>199</v>
      </c>
    </row>
    <row r="19" spans="1:21" x14ac:dyDescent="0.2">
      <c r="B19" t="s">
        <v>252</v>
      </c>
      <c r="E19" s="215">
        <f>'Financials Data'!AF6</f>
        <v>54.87</v>
      </c>
      <c r="F19" s="108" t="s">
        <v>253</v>
      </c>
      <c r="I19" s="2" t="s">
        <v>254</v>
      </c>
      <c r="L19" s="158">
        <f>L13+L16-L17</f>
        <v>1508.6892826275</v>
      </c>
      <c r="N19" s="6"/>
      <c r="O19" s="313" t="s">
        <v>255</v>
      </c>
      <c r="P19" s="300"/>
      <c r="Q19" s="381">
        <v>0.46899999999999997</v>
      </c>
      <c r="R19" s="381">
        <v>0.48499999999999999</v>
      </c>
      <c r="S19" s="381">
        <v>0.48699999999999999</v>
      </c>
      <c r="T19" s="381">
        <v>0.48699999999999999</v>
      </c>
      <c r="U19" s="382">
        <v>0.48699999999999999</v>
      </c>
    </row>
    <row r="20" spans="1:21" x14ac:dyDescent="0.2">
      <c r="B20" t="s">
        <v>256</v>
      </c>
      <c r="E20" s="216">
        <f>L21</f>
        <v>11.961383355486403</v>
      </c>
      <c r="I20" t="s">
        <v>257</v>
      </c>
      <c r="L20" s="157">
        <f>E17</f>
        <v>126.13</v>
      </c>
      <c r="O20" s="314" t="s">
        <v>258</v>
      </c>
      <c r="P20" s="315"/>
      <c r="Q20" s="383">
        <f>Q19+0.02</f>
        <v>0.48899999999999999</v>
      </c>
      <c r="R20" s="383">
        <f t="shared" ref="R20:U20" si="2">R19+0.02</f>
        <v>0.505</v>
      </c>
      <c r="S20" s="383">
        <f t="shared" si="2"/>
        <v>0.50700000000000001</v>
      </c>
      <c r="T20" s="383">
        <f t="shared" si="2"/>
        <v>0.50700000000000001</v>
      </c>
      <c r="U20" s="384">
        <f t="shared" si="2"/>
        <v>0.50700000000000001</v>
      </c>
    </row>
    <row r="21" spans="1:21" x14ac:dyDescent="0.2">
      <c r="I21" s="2" t="s">
        <v>259</v>
      </c>
      <c r="L21" s="14">
        <f>L19/L20</f>
        <v>11.961383355486403</v>
      </c>
      <c r="O21" s="316" t="s">
        <v>251</v>
      </c>
      <c r="P21" s="317"/>
      <c r="Q21" s="385">
        <f>Q19-0.02</f>
        <v>0.44899999999999995</v>
      </c>
      <c r="R21" s="385">
        <f t="shared" ref="R21:U21" si="3">R19-0.02</f>
        <v>0.46499999999999997</v>
      </c>
      <c r="S21" s="385">
        <f t="shared" si="3"/>
        <v>0.46699999999999997</v>
      </c>
      <c r="T21" s="385">
        <f t="shared" si="3"/>
        <v>0.46699999999999997</v>
      </c>
      <c r="U21" s="386">
        <f t="shared" si="3"/>
        <v>0.46699999999999997</v>
      </c>
    </row>
    <row r="22" spans="1:21" x14ac:dyDescent="0.2">
      <c r="O22" s="112"/>
      <c r="Q22" s="190"/>
      <c r="R22" s="190"/>
      <c r="S22" s="190"/>
      <c r="T22" s="190"/>
      <c r="U22" s="318"/>
    </row>
    <row r="23" spans="1:21" x14ac:dyDescent="0.2">
      <c r="B23" s="20" t="s">
        <v>260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O23" s="311" t="s">
        <v>242</v>
      </c>
      <c r="P23" s="30"/>
      <c r="Q23" s="31" t="s">
        <v>179</v>
      </c>
      <c r="R23" s="31" t="s">
        <v>196</v>
      </c>
      <c r="S23" s="31" t="s">
        <v>197</v>
      </c>
      <c r="T23" s="31" t="s">
        <v>198</v>
      </c>
      <c r="U23" s="312" t="s">
        <v>199</v>
      </c>
    </row>
    <row r="24" spans="1:21" x14ac:dyDescent="0.2">
      <c r="E24" s="5" t="s">
        <v>261</v>
      </c>
      <c r="F24" s="5" t="s">
        <v>262</v>
      </c>
      <c r="G24" s="5" t="s">
        <v>263</v>
      </c>
      <c r="H24" s="5" t="s">
        <v>2412</v>
      </c>
      <c r="I24" s="5" t="s">
        <v>264</v>
      </c>
      <c r="J24" s="5" t="s">
        <v>2413</v>
      </c>
      <c r="K24" s="5" t="s">
        <v>265</v>
      </c>
      <c r="L24" s="5"/>
      <c r="O24" s="313" t="s">
        <v>255</v>
      </c>
      <c r="P24" s="300"/>
      <c r="Q24" s="381">
        <v>7.153542944997042E-2</v>
      </c>
      <c r="R24" s="381">
        <v>7.153542944997042E-2</v>
      </c>
      <c r="S24" s="381">
        <v>7.153542944997042E-2</v>
      </c>
      <c r="T24" s="381">
        <v>7.153542944997042E-2</v>
      </c>
      <c r="U24" s="382">
        <v>7.153542944997042E-2</v>
      </c>
    </row>
    <row r="25" spans="1:21" x14ac:dyDescent="0.2">
      <c r="B25" t="s">
        <v>266</v>
      </c>
      <c r="E25" s="279">
        <v>0</v>
      </c>
      <c r="F25" s="14">
        <f>E25/$E$17</f>
        <v>0</v>
      </c>
      <c r="G25" s="390">
        <v>8.7999999999999995E-2</v>
      </c>
      <c r="I25" s="404">
        <v>0</v>
      </c>
      <c r="J25" s="406">
        <f>(G25-' WACC &amp; Unlevered CoC'!$D$5)*10000</f>
        <v>295.5</v>
      </c>
      <c r="K25" s="405">
        <v>6</v>
      </c>
      <c r="L25" s="5"/>
      <c r="O25" s="314" t="s">
        <v>258</v>
      </c>
      <c r="P25" s="315"/>
      <c r="Q25" s="383">
        <f>Q24-0.02</f>
        <v>5.1535429449970416E-2</v>
      </c>
      <c r="R25" s="383">
        <f t="shared" ref="R25:U25" si="4">R24-0.02</f>
        <v>5.1535429449970416E-2</v>
      </c>
      <c r="S25" s="383">
        <f t="shared" si="4"/>
        <v>5.1535429449970416E-2</v>
      </c>
      <c r="T25" s="383">
        <f t="shared" si="4"/>
        <v>5.1535429449970416E-2</v>
      </c>
      <c r="U25" s="384">
        <f t="shared" si="4"/>
        <v>5.1535429449970416E-2</v>
      </c>
    </row>
    <row r="26" spans="1:21" x14ac:dyDescent="0.2">
      <c r="B26" t="s">
        <v>267</v>
      </c>
      <c r="E26" s="279">
        <v>540</v>
      </c>
      <c r="F26" s="14">
        <f>E26/$E$17</f>
        <v>4.2812970744469991</v>
      </c>
      <c r="G26" s="390">
        <v>7.8100000000000003E-2</v>
      </c>
      <c r="H26" s="415">
        <f>G26+0.002</f>
        <v>8.0100000000000005E-2</v>
      </c>
      <c r="I26" s="404">
        <f>E26/$E$30</f>
        <v>0.6</v>
      </c>
      <c r="J26" s="406">
        <f>(G26-' WACC &amp; Unlevered CoC'!$D$5)*10000</f>
        <v>196.50000000000009</v>
      </c>
      <c r="K26" s="405">
        <v>6</v>
      </c>
      <c r="L26" s="161"/>
      <c r="O26" s="319" t="s">
        <v>251</v>
      </c>
      <c r="P26" s="320"/>
      <c r="Q26" s="387">
        <f>Q24+0.02</f>
        <v>9.1535429449970424E-2</v>
      </c>
      <c r="R26" s="387">
        <f t="shared" ref="R26:U26" si="5">R24+0.02</f>
        <v>9.1535429449970424E-2</v>
      </c>
      <c r="S26" s="387">
        <f t="shared" si="5"/>
        <v>9.1535429449970424E-2</v>
      </c>
      <c r="T26" s="387">
        <f t="shared" si="5"/>
        <v>9.1535429449970424E-2</v>
      </c>
      <c r="U26" s="388">
        <f t="shared" si="5"/>
        <v>9.1535429449970424E-2</v>
      </c>
    </row>
    <row r="27" spans="1:21" x14ac:dyDescent="0.2">
      <c r="B27" t="s">
        <v>268</v>
      </c>
      <c r="E27" s="279">
        <v>140</v>
      </c>
      <c r="F27" s="14">
        <f>E27/$E$17</f>
        <v>1.1099659081899629</v>
      </c>
      <c r="G27" s="390">
        <v>7.9399999999999998E-2</v>
      </c>
      <c r="H27" s="121"/>
      <c r="I27" s="404">
        <f>E27/$E$30</f>
        <v>0.15555555555555556</v>
      </c>
      <c r="J27" s="406">
        <f>(G27-' WACC &amp; Unlevered CoC'!$D$5)*10000</f>
        <v>209.50000000000003</v>
      </c>
      <c r="K27" s="405">
        <v>5</v>
      </c>
      <c r="L27" s="161"/>
    </row>
    <row r="28" spans="1:21" x14ac:dyDescent="0.2">
      <c r="B28" t="s">
        <v>269</v>
      </c>
      <c r="E28" s="279">
        <v>220</v>
      </c>
      <c r="F28" s="14">
        <f t="shared" ref="F28" si="6">E28/$E$17</f>
        <v>1.7442321414413702</v>
      </c>
      <c r="G28" s="390">
        <v>0.1031</v>
      </c>
      <c r="I28" s="404">
        <f>E28/$E$30</f>
        <v>0.24444444444444444</v>
      </c>
      <c r="J28" s="406">
        <f>(G28-' WACC &amp; Unlevered CoC'!$D$5)*10000</f>
        <v>446.5</v>
      </c>
      <c r="K28" s="405">
        <v>6</v>
      </c>
      <c r="L28" s="161"/>
    </row>
    <row r="29" spans="1:21" ht="5" customHeight="1" x14ac:dyDescent="0.2">
      <c r="E29" s="159"/>
      <c r="F29" s="9"/>
      <c r="G29" s="160"/>
      <c r="H29" s="160"/>
      <c r="I29" s="161"/>
      <c r="J29" s="162"/>
      <c r="K29" s="161"/>
    </row>
    <row r="30" spans="1:21" x14ac:dyDescent="0.2">
      <c r="B30" s="7" t="s">
        <v>270</v>
      </c>
      <c r="C30" s="8"/>
      <c r="D30" s="8"/>
      <c r="E30" s="15">
        <f>SUM(E25:E28)</f>
        <v>900</v>
      </c>
      <c r="F30" s="16">
        <f>SUM(F25:F28)</f>
        <v>7.1354951240783322</v>
      </c>
      <c r="G30" s="399">
        <f>(I26*G26)+(I27*G27)+(I28*G28)+(G25*I25)</f>
        <v>8.4413333333333326E-2</v>
      </c>
      <c r="H30" s="399"/>
      <c r="I30" s="403">
        <f>SUM(I25:I28)</f>
        <v>1</v>
      </c>
      <c r="J30" s="2"/>
      <c r="K30" s="156"/>
    </row>
    <row r="32" spans="1:21" x14ac:dyDescent="0.2">
      <c r="A32" s="1" t="s">
        <v>225</v>
      </c>
      <c r="B32" s="20" t="s">
        <v>271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</row>
    <row r="33" spans="1:15" ht="5" customHeight="1" x14ac:dyDescent="0.2"/>
    <row r="34" spans="1:15" x14ac:dyDescent="0.2">
      <c r="B34" s="20" t="s">
        <v>272</v>
      </c>
      <c r="C34" s="20"/>
      <c r="D34" s="20"/>
      <c r="E34" s="20"/>
      <c r="F34" s="20"/>
      <c r="I34" s="20" t="s">
        <v>273</v>
      </c>
      <c r="J34" s="20"/>
      <c r="K34" s="20"/>
      <c r="L34" s="30"/>
    </row>
    <row r="35" spans="1:15" x14ac:dyDescent="0.2">
      <c r="D35" s="5" t="s">
        <v>261</v>
      </c>
      <c r="E35" s="5" t="s">
        <v>262</v>
      </c>
      <c r="F35" s="5" t="s">
        <v>274</v>
      </c>
      <c r="J35" s="5" t="s">
        <v>261</v>
      </c>
      <c r="K35" s="5" t="s">
        <v>262</v>
      </c>
      <c r="L35" s="5" t="s">
        <v>274</v>
      </c>
    </row>
    <row r="36" spans="1:15" x14ac:dyDescent="0.2">
      <c r="B36" t="str">
        <f>B25</f>
        <v>Revolver</v>
      </c>
      <c r="D36" s="9">
        <v>0</v>
      </c>
      <c r="E36" s="14">
        <v>0</v>
      </c>
      <c r="F36" s="402">
        <v>0</v>
      </c>
      <c r="I36" t="s">
        <v>275</v>
      </c>
      <c r="J36" s="175">
        <f>L13</f>
        <v>1421.2482826275</v>
      </c>
      <c r="K36" s="14">
        <f>J36/$E$17</f>
        <v>11.2681224342147</v>
      </c>
      <c r="L36" s="4">
        <f>J36/$J$43</f>
        <v>0.89286923730084278</v>
      </c>
    </row>
    <row r="37" spans="1:15" x14ac:dyDescent="0.2">
      <c r="B37" t="str">
        <f>B26</f>
        <v>Senior debt - PLN Term loan A</v>
      </c>
      <c r="D37" s="9">
        <f>E26</f>
        <v>540</v>
      </c>
      <c r="E37" s="14">
        <f>D37/$E$17</f>
        <v>4.2812970744469991</v>
      </c>
      <c r="F37" s="402">
        <f>D37/$D$43</f>
        <v>0.33924360299038853</v>
      </c>
      <c r="I37" t="s">
        <v>276</v>
      </c>
      <c r="J37" s="9">
        <f>E18-27.5</f>
        <v>114.81100000000001</v>
      </c>
      <c r="K37" s="14">
        <f t="shared" ref="K37:K39" si="7">J37/$E$17</f>
        <v>0.91025925632284155</v>
      </c>
      <c r="L37" s="4">
        <f>J37/$J$43</f>
        <v>7.2127587598017587E-2</v>
      </c>
    </row>
    <row r="38" spans="1:15" x14ac:dyDescent="0.2">
      <c r="B38" t="str">
        <f>B27</f>
        <v>Senior debt - PLN Term loan B</v>
      </c>
      <c r="D38" s="9">
        <f>E27</f>
        <v>140</v>
      </c>
      <c r="E38" s="14">
        <f>D38/$E$17</f>
        <v>1.1099659081899629</v>
      </c>
      <c r="F38" s="402">
        <f t="shared" ref="F38:F43" si="8">D38/$D$43</f>
        <v>8.7952045219730351E-2</v>
      </c>
      <c r="I38" t="s">
        <v>277</v>
      </c>
      <c r="J38" s="9">
        <f>L19*0.025</f>
        <v>37.717232065687504</v>
      </c>
      <c r="K38" s="14">
        <f t="shared" si="7"/>
        <v>0.29903458388716014</v>
      </c>
      <c r="L38" s="4">
        <f>J38/$J$43</f>
        <v>2.3695055001460078E-2</v>
      </c>
      <c r="O38" s="154"/>
    </row>
    <row r="39" spans="1:15" x14ac:dyDescent="0.2">
      <c r="B39" t="str">
        <f>B28</f>
        <v>Subordinate debt - PLN Second Lien</v>
      </c>
      <c r="D39" s="9">
        <f>E28</f>
        <v>220</v>
      </c>
      <c r="E39" s="14">
        <f t="shared" ref="E39:E41" si="9">D39/$E$17</f>
        <v>1.7442321414413702</v>
      </c>
      <c r="F39" s="402">
        <f t="shared" si="8"/>
        <v>0.13821035677386198</v>
      </c>
      <c r="I39" t="s">
        <v>278</v>
      </c>
      <c r="J39" s="9">
        <f>E30*0.02</f>
        <v>18</v>
      </c>
      <c r="K39" s="14">
        <f t="shared" si="7"/>
        <v>0.14270990248156665</v>
      </c>
      <c r="L39" s="4">
        <f>J39/$J$43</f>
        <v>1.1308120099679617E-2</v>
      </c>
      <c r="N39" s="209" t="s">
        <v>279</v>
      </c>
      <c r="O39" s="210"/>
    </row>
    <row r="40" spans="1:15" x14ac:dyDescent="0.2">
      <c r="B40" t="s">
        <v>280</v>
      </c>
      <c r="D40" s="6">
        <f>E19</f>
        <v>54.87</v>
      </c>
      <c r="E40" s="14">
        <f t="shared" si="9"/>
        <v>0.43502735273130894</v>
      </c>
      <c r="F40" s="402">
        <f t="shared" si="8"/>
        <v>3.447091943719003E-2</v>
      </c>
      <c r="N40" s="209" t="s">
        <v>281</v>
      </c>
      <c r="O40" s="210"/>
    </row>
    <row r="41" spans="1:15" x14ac:dyDescent="0.2">
      <c r="B41" t="s">
        <v>282</v>
      </c>
      <c r="D41" s="6">
        <f>D43-SUM(D37:D40)</f>
        <v>636.90651469318743</v>
      </c>
      <c r="E41" s="14">
        <f t="shared" si="9"/>
        <v>5.0496037000966263</v>
      </c>
      <c r="F41" s="402">
        <f t="shared" si="8"/>
        <v>0.40012307557882909</v>
      </c>
      <c r="G41" s="118"/>
      <c r="J41" s="10"/>
      <c r="K41" s="14"/>
      <c r="L41" s="4"/>
    </row>
    <row r="42" spans="1:15" ht="5" customHeight="1" x14ac:dyDescent="0.2"/>
    <row r="43" spans="1:15" x14ac:dyDescent="0.2">
      <c r="B43" s="7" t="s">
        <v>270</v>
      </c>
      <c r="C43" s="8"/>
      <c r="D43" s="15">
        <f>J43</f>
        <v>1591.7765146931874</v>
      </c>
      <c r="E43" s="16">
        <f>SUM(E37:E41)</f>
        <v>12.620126176906268</v>
      </c>
      <c r="F43" s="17">
        <f t="shared" si="8"/>
        <v>1</v>
      </c>
      <c r="G43" s="2"/>
      <c r="I43" s="7" t="s">
        <v>270</v>
      </c>
      <c r="J43" s="15">
        <f>SUM(J36:J41)</f>
        <v>1591.7765146931874</v>
      </c>
      <c r="K43" s="16">
        <f>SUM(K36:K41)</f>
        <v>12.620126176906268</v>
      </c>
      <c r="L43" s="17">
        <f>SUM(L36:L41)</f>
        <v>1</v>
      </c>
    </row>
    <row r="45" spans="1:15" x14ac:dyDescent="0.2">
      <c r="A45" s="1" t="s">
        <v>225</v>
      </c>
      <c r="B45" s="20" t="s">
        <v>283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</row>
    <row r="46" spans="1:15" ht="5" customHeight="1" x14ac:dyDescent="0.2"/>
    <row r="47" spans="1:15" x14ac:dyDescent="0.2">
      <c r="B47" s="27" t="s">
        <v>284</v>
      </c>
      <c r="C47" s="178"/>
      <c r="D47" s="180">
        <v>2021</v>
      </c>
      <c r="E47" s="180">
        <v>2022</v>
      </c>
      <c r="F47" s="180">
        <v>2023</v>
      </c>
      <c r="G47" s="179" t="s">
        <v>285</v>
      </c>
      <c r="H47" s="255" t="s">
        <v>179</v>
      </c>
      <c r="I47" s="179" t="s">
        <v>196</v>
      </c>
      <c r="J47" s="179" t="s">
        <v>197</v>
      </c>
      <c r="K47" s="179" t="s">
        <v>198</v>
      </c>
      <c r="L47" s="179" t="s">
        <v>199</v>
      </c>
      <c r="N47" s="199"/>
      <c r="O47" s="179" t="s">
        <v>286</v>
      </c>
    </row>
    <row r="48" spans="1:15" ht="5" customHeight="1" x14ac:dyDescent="0.2">
      <c r="H48" s="256"/>
      <c r="N48" s="56"/>
    </row>
    <row r="49" spans="1:15" x14ac:dyDescent="0.2">
      <c r="B49" t="s">
        <v>235</v>
      </c>
      <c r="D49" s="181"/>
      <c r="E49" s="203">
        <f>E62/D62-1</f>
        <v>-8.9143370382844922E-2</v>
      </c>
      <c r="F49" s="203">
        <f>F62/E62-1</f>
        <v>-2.6213073667776032E-2</v>
      </c>
      <c r="G49" s="253">
        <f>G62/F62-1</f>
        <v>0.2151386017467618</v>
      </c>
      <c r="H49" s="273">
        <f>Q9</f>
        <v>0.221</v>
      </c>
      <c r="I49" s="274">
        <f t="shared" ref="I49:L49" si="10">R9</f>
        <v>0.11799999999999999</v>
      </c>
      <c r="J49" s="274">
        <f t="shared" si="10"/>
        <v>0.111</v>
      </c>
      <c r="K49" s="274">
        <f t="shared" si="10"/>
        <v>0.104</v>
      </c>
      <c r="L49" s="274">
        <f t="shared" si="10"/>
        <v>0.105</v>
      </c>
      <c r="N49" s="516" t="str">
        <f>Q5</f>
        <v>Base case</v>
      </c>
      <c r="O49" s="354">
        <f>AVERAGE(H49:L49)</f>
        <v>0.13179999999999997</v>
      </c>
    </row>
    <row r="50" spans="1:15" x14ac:dyDescent="0.2">
      <c r="B50" t="s">
        <v>239</v>
      </c>
      <c r="D50" s="182">
        <f>D68/D$62</f>
        <v>0.61820291156768092</v>
      </c>
      <c r="E50" s="182">
        <f t="shared" ref="E50:F50" si="11">E68/E$62</f>
        <v>0.50860758453510824</v>
      </c>
      <c r="F50" s="182">
        <f t="shared" si="11"/>
        <v>0.4788405552508333</v>
      </c>
      <c r="G50" s="254">
        <f>G68/G$62</f>
        <v>0.48732638888888885</v>
      </c>
      <c r="H50" s="273">
        <f>Q10</f>
        <v>0.46899999999999997</v>
      </c>
      <c r="I50" s="274">
        <f t="shared" ref="I50:L50" si="12">R10</f>
        <v>0.48499999999999999</v>
      </c>
      <c r="J50" s="274">
        <f t="shared" si="12"/>
        <v>0.48699999999999999</v>
      </c>
      <c r="K50" s="274">
        <f t="shared" si="12"/>
        <v>0.48699999999999999</v>
      </c>
      <c r="L50" s="274">
        <f t="shared" si="12"/>
        <v>0.48699999999999999</v>
      </c>
      <c r="N50" s="516"/>
      <c r="O50" s="354">
        <f t="shared" ref="O50:O52" si="13">AVERAGE(H50:L50)</f>
        <v>0.48299999999999998</v>
      </c>
    </row>
    <row r="51" spans="1:15" x14ac:dyDescent="0.2">
      <c r="B51" t="s">
        <v>242</v>
      </c>
      <c r="D51" s="182">
        <f>D71/D$62</f>
        <v>7.1816174544365868E-2</v>
      </c>
      <c r="E51" s="182">
        <f t="shared" ref="E51:G51" si="14">E71/E$62</f>
        <v>5.0084226960844733E-2</v>
      </c>
      <c r="F51" s="182">
        <f t="shared" si="14"/>
        <v>7.4553816294671116E-2</v>
      </c>
      <c r="G51" s="254">
        <f t="shared" si="14"/>
        <v>8.9687499999999989E-2</v>
      </c>
      <c r="H51" s="273">
        <f>Q11</f>
        <v>7.153542944997042E-2</v>
      </c>
      <c r="I51" s="274">
        <f t="shared" ref="I51:L51" si="15">R11</f>
        <v>7.153542944997042E-2</v>
      </c>
      <c r="J51" s="274">
        <f t="shared" si="15"/>
        <v>7.153542944997042E-2</v>
      </c>
      <c r="K51" s="274">
        <f t="shared" si="15"/>
        <v>7.153542944997042E-2</v>
      </c>
      <c r="L51" s="274">
        <f t="shared" si="15"/>
        <v>7.153542944997042E-2</v>
      </c>
      <c r="N51" s="516"/>
      <c r="O51" s="354">
        <f t="shared" si="13"/>
        <v>7.153542944997042E-2</v>
      </c>
    </row>
    <row r="52" spans="1:15" x14ac:dyDescent="0.2">
      <c r="B52" t="s">
        <v>287</v>
      </c>
      <c r="D52" s="182">
        <f>D83/D80</f>
        <v>0.19432078780520703</v>
      </c>
      <c r="E52" s="182">
        <f t="shared" ref="E52:F52" si="16">E83/E80</f>
        <v>0.18930256948085999</v>
      </c>
      <c r="F52" s="182">
        <f t="shared" si="16"/>
        <v>0.18625696101829756</v>
      </c>
      <c r="G52" s="254">
        <f>F52-$N$52</f>
        <v>0.18625696101829756</v>
      </c>
      <c r="H52" s="273">
        <v>0.19</v>
      </c>
      <c r="I52" s="274">
        <v>0.19</v>
      </c>
      <c r="J52" s="274">
        <v>0.19</v>
      </c>
      <c r="K52" s="274">
        <v>0.19</v>
      </c>
      <c r="L52" s="274">
        <v>0.19</v>
      </c>
      <c r="N52" s="516"/>
      <c r="O52" s="354">
        <f t="shared" si="13"/>
        <v>0.19</v>
      </c>
    </row>
    <row r="53" spans="1:15" x14ac:dyDescent="0.2">
      <c r="D53" s="325"/>
      <c r="E53" s="325"/>
      <c r="F53" s="325"/>
      <c r="G53" s="325"/>
      <c r="H53" s="326"/>
      <c r="I53" s="327"/>
      <c r="J53" s="327"/>
      <c r="K53" s="327"/>
      <c r="L53" s="327"/>
      <c r="N53" s="328"/>
    </row>
    <row r="54" spans="1:15" x14ac:dyDescent="0.2">
      <c r="B54" s="20" t="s">
        <v>288</v>
      </c>
      <c r="C54" s="19"/>
      <c r="D54" s="19"/>
      <c r="E54" s="19"/>
      <c r="F54" s="19"/>
      <c r="G54" s="31"/>
      <c r="H54" s="329"/>
      <c r="I54" s="31"/>
      <c r="J54" s="31"/>
      <c r="K54" s="31"/>
      <c r="L54" s="19"/>
    </row>
    <row r="55" spans="1:15" x14ac:dyDescent="0.2">
      <c r="B55" t="s">
        <v>30</v>
      </c>
      <c r="D55" s="191">
        <f t="shared" ref="D55:L55" si="17">D74</f>
        <v>146</v>
      </c>
      <c r="E55" s="191">
        <f t="shared" si="17"/>
        <v>111.6</v>
      </c>
      <c r="F55" s="191">
        <f t="shared" si="17"/>
        <v>95.82</v>
      </c>
      <c r="G55" s="191">
        <f t="shared" si="17"/>
        <v>114.52</v>
      </c>
      <c r="H55" s="266">
        <f t="shared" si="17"/>
        <v>139.76762130477681</v>
      </c>
      <c r="I55" s="191">
        <f t="shared" si="17"/>
        <v>162.55048004274045</v>
      </c>
      <c r="J55" s="191">
        <f t="shared" si="17"/>
        <v>181.46714588249262</v>
      </c>
      <c r="K55" s="191">
        <f t="shared" si="17"/>
        <v>200.33972905427186</v>
      </c>
      <c r="L55" s="191">
        <f t="shared" si="17"/>
        <v>221.37540060497042</v>
      </c>
    </row>
    <row r="56" spans="1:15" x14ac:dyDescent="0.2">
      <c r="B56" t="s">
        <v>289</v>
      </c>
      <c r="D56" s="191">
        <f t="shared" ref="D56:L56" si="18">D92</f>
        <v>7.56</v>
      </c>
      <c r="E56" s="191">
        <f t="shared" si="18"/>
        <v>7.51</v>
      </c>
      <c r="F56" s="191">
        <f t="shared" si="18"/>
        <v>20.05</v>
      </c>
      <c r="G56" s="191">
        <f t="shared" si="18"/>
        <v>11.599401834271038</v>
      </c>
      <c r="H56" s="266">
        <f t="shared" si="18"/>
        <v>16.849069639644942</v>
      </c>
      <c r="I56" s="191">
        <f t="shared" si="18"/>
        <v>18.837259857123041</v>
      </c>
      <c r="J56" s="191">
        <f t="shared" si="18"/>
        <v>20.928195701263697</v>
      </c>
      <c r="K56" s="191">
        <f t="shared" si="18"/>
        <v>23.104728054195125</v>
      </c>
      <c r="L56" s="191">
        <f t="shared" si="18"/>
        <v>25.530724499885611</v>
      </c>
      <c r="N56" s="209" t="s">
        <v>290</v>
      </c>
      <c r="O56" s="210"/>
    </row>
    <row r="57" spans="1:15" x14ac:dyDescent="0.2">
      <c r="B57" s="211" t="s">
        <v>20</v>
      </c>
      <c r="C57" s="211"/>
      <c r="D57" s="212">
        <f>D55+D56</f>
        <v>153.56</v>
      </c>
      <c r="E57" s="212">
        <f t="shared" ref="E57:F57" si="19">E55+E56</f>
        <v>119.11</v>
      </c>
      <c r="F57" s="212">
        <f t="shared" si="19"/>
        <v>115.86999999999999</v>
      </c>
      <c r="G57" s="212">
        <f t="shared" ref="G57" si="20">G55+G56</f>
        <v>126.11940183427103</v>
      </c>
      <c r="H57" s="283">
        <f t="shared" ref="H57" si="21">H55+H56</f>
        <v>156.61669094442175</v>
      </c>
      <c r="I57" s="284">
        <f t="shared" ref="I57" si="22">I55+I56</f>
        <v>181.38773989986348</v>
      </c>
      <c r="J57" s="284">
        <f t="shared" ref="J57" si="23">J55+J56</f>
        <v>202.39534158375631</v>
      </c>
      <c r="K57" s="284">
        <f t="shared" ref="K57" si="24">K55+K56</f>
        <v>223.44445710846699</v>
      </c>
      <c r="L57" s="284">
        <f t="shared" ref="L57" si="25">L55+L56</f>
        <v>246.90612510485605</v>
      </c>
    </row>
    <row r="58" spans="1:15" x14ac:dyDescent="0.2">
      <c r="B58" s="12" t="s">
        <v>2437</v>
      </c>
      <c r="D58" s="192">
        <f t="shared" ref="D58:L58" si="26">D57/D$62</f>
        <v>0.57467909135137163</v>
      </c>
      <c r="E58" s="192">
        <f t="shared" si="26"/>
        <v>0.48937918566909078</v>
      </c>
      <c r="F58" s="192">
        <f t="shared" si="26"/>
        <v>0.48888232564026834</v>
      </c>
      <c r="G58" s="192">
        <f t="shared" si="26"/>
        <v>0.43791458970232999</v>
      </c>
      <c r="H58" s="282">
        <f t="shared" si="26"/>
        <v>0.44537916025235957</v>
      </c>
      <c r="I58" s="192">
        <f t="shared" si="26"/>
        <v>0.46137916025235953</v>
      </c>
      <c r="J58" s="192">
        <f t="shared" si="26"/>
        <v>0.46337916025235953</v>
      </c>
      <c r="K58" s="192">
        <f t="shared" si="26"/>
        <v>0.46337916025235953</v>
      </c>
      <c r="L58" s="192">
        <f t="shared" si="26"/>
        <v>0.46337916025235959</v>
      </c>
      <c r="N58" s="486"/>
    </row>
    <row r="59" spans="1:15" x14ac:dyDescent="0.2">
      <c r="H59" s="256"/>
    </row>
    <row r="60" spans="1:15" x14ac:dyDescent="0.2">
      <c r="A60" s="1" t="s">
        <v>225</v>
      </c>
      <c r="B60" s="20" t="s">
        <v>292</v>
      </c>
      <c r="C60" s="20"/>
      <c r="D60" s="180">
        <v>2021</v>
      </c>
      <c r="E60" s="180">
        <v>2022</v>
      </c>
      <c r="F60" s="180">
        <v>2023</v>
      </c>
      <c r="G60" s="179" t="s">
        <v>285</v>
      </c>
      <c r="H60" s="255" t="s">
        <v>179</v>
      </c>
      <c r="I60" s="179" t="s">
        <v>196</v>
      </c>
      <c r="J60" s="179" t="s">
        <v>197</v>
      </c>
      <c r="K60" s="179" t="s">
        <v>198</v>
      </c>
      <c r="L60" s="179" t="s">
        <v>199</v>
      </c>
      <c r="N60" s="179" t="s">
        <v>293</v>
      </c>
    </row>
    <row r="61" spans="1:15" ht="5" customHeight="1" x14ac:dyDescent="0.2">
      <c r="H61" s="256"/>
    </row>
    <row r="62" spans="1:15" x14ac:dyDescent="0.2">
      <c r="B62" s="300" t="s">
        <v>13</v>
      </c>
      <c r="C62" s="1"/>
      <c r="D62" s="185">
        <f>'Financials Data'!F5</f>
        <v>267.20999999999998</v>
      </c>
      <c r="E62" s="185">
        <f>'Financials Data'!G5</f>
        <v>243.39</v>
      </c>
      <c r="F62" s="185">
        <f>'Financials Data'!H5</f>
        <v>237.01</v>
      </c>
      <c r="G62" s="185">
        <f>'Financials Data'!L5</f>
        <v>288</v>
      </c>
      <c r="H62" s="275">
        <f>(H49+1)*G62</f>
        <v>351.64800000000002</v>
      </c>
      <c r="I62" s="25">
        <f>(I49+1)*H62</f>
        <v>393.14246399999996</v>
      </c>
      <c r="J62" s="25">
        <f>(J49+1)*I62</f>
        <v>436.78127750399995</v>
      </c>
      <c r="K62" s="25">
        <f>(K49+1)*J62</f>
        <v>482.20653036441598</v>
      </c>
      <c r="L62" s="25">
        <f>(L49+1)*K62</f>
        <v>532.83821605267963</v>
      </c>
    </row>
    <row r="63" spans="1:15" x14ac:dyDescent="0.2">
      <c r="B63" s="301" t="s">
        <v>202</v>
      </c>
      <c r="C63" s="1"/>
      <c r="D63" s="183"/>
      <c r="E63" s="196">
        <f t="shared" ref="E63:L63" si="27">E49</f>
        <v>-8.9143370382844922E-2</v>
      </c>
      <c r="F63" s="196">
        <f t="shared" si="27"/>
        <v>-2.6213073667776032E-2</v>
      </c>
      <c r="G63" s="197">
        <f t="shared" si="27"/>
        <v>0.2151386017467618</v>
      </c>
      <c r="H63" s="277">
        <f t="shared" si="27"/>
        <v>0.221</v>
      </c>
      <c r="I63" s="278">
        <f t="shared" si="27"/>
        <v>0.11799999999999999</v>
      </c>
      <c r="J63" s="278">
        <f t="shared" si="27"/>
        <v>0.111</v>
      </c>
      <c r="K63" s="278">
        <f t="shared" si="27"/>
        <v>0.104</v>
      </c>
      <c r="L63" s="278">
        <f t="shared" si="27"/>
        <v>0.105</v>
      </c>
      <c r="N63" s="196">
        <f>AVERAGE(D63:L63)</f>
        <v>9.4847769712017596E-2</v>
      </c>
    </row>
    <row r="64" spans="1:15" x14ac:dyDescent="0.2">
      <c r="B64" s="300"/>
      <c r="C64" s="1"/>
      <c r="D64" s="1"/>
      <c r="E64" s="1"/>
      <c r="F64" s="1"/>
      <c r="G64" s="1"/>
      <c r="H64" s="257"/>
      <c r="I64" s="204"/>
      <c r="J64" s="204"/>
      <c r="K64" s="204"/>
      <c r="L64" s="202"/>
    </row>
    <row r="65" spans="2:16" x14ac:dyDescent="0.2">
      <c r="B65" s="300" t="s">
        <v>294</v>
      </c>
      <c r="C65" s="1"/>
      <c r="D65" s="25">
        <f>-'Financials Data'!F8</f>
        <v>102.02</v>
      </c>
      <c r="E65" s="25">
        <f>-'Financials Data'!G8</f>
        <v>119.6</v>
      </c>
      <c r="F65" s="25">
        <f>-'Financials Data'!H8</f>
        <v>123.52</v>
      </c>
      <c r="G65" s="25">
        <f>-'Financials Data'!I8</f>
        <v>147.65</v>
      </c>
      <c r="H65" s="275">
        <f>H62-H68</f>
        <v>186.72508800000003</v>
      </c>
      <c r="I65" s="25">
        <f>I62-I68</f>
        <v>202.46836895999999</v>
      </c>
      <c r="J65" s="25">
        <f t="shared" ref="J65:L65" si="28">J62-J68</f>
        <v>224.06879535955198</v>
      </c>
      <c r="K65" s="25">
        <f t="shared" si="28"/>
        <v>247.37195007694541</v>
      </c>
      <c r="L65" s="25">
        <f t="shared" si="28"/>
        <v>273.34600483502464</v>
      </c>
    </row>
    <row r="66" spans="2:16" x14ac:dyDescent="0.2">
      <c r="B66" s="301" t="s">
        <v>291</v>
      </c>
      <c r="C66" s="1"/>
      <c r="D66" s="196">
        <f>D65/D$62</f>
        <v>0.38179708843231919</v>
      </c>
      <c r="E66" s="196">
        <f t="shared" ref="E66:F66" si="29">E65/E$62</f>
        <v>0.49139241546489176</v>
      </c>
      <c r="F66" s="196">
        <f t="shared" si="29"/>
        <v>0.52115944474916676</v>
      </c>
      <c r="G66" s="196">
        <f>G65/G$62</f>
        <v>0.51267361111111109</v>
      </c>
      <c r="H66" s="508">
        <f>H65/H$62</f>
        <v>0.53100000000000003</v>
      </c>
      <c r="I66" s="196">
        <f t="shared" ref="I66:L66" si="30">I65/I$62</f>
        <v>0.51500000000000001</v>
      </c>
      <c r="J66" s="196">
        <f t="shared" si="30"/>
        <v>0.51300000000000001</v>
      </c>
      <c r="K66" s="196">
        <f t="shared" si="30"/>
        <v>0.51300000000000001</v>
      </c>
      <c r="L66" s="196">
        <f t="shared" si="30"/>
        <v>0.51300000000000001</v>
      </c>
      <c r="N66" s="196">
        <f>AVERAGE(D66:L66)</f>
        <v>0.49911361775083207</v>
      </c>
    </row>
    <row r="67" spans="2:16" x14ac:dyDescent="0.2">
      <c r="B67" s="300"/>
      <c r="C67" s="1"/>
      <c r="D67" s="1"/>
      <c r="E67" s="1"/>
      <c r="F67" s="1"/>
      <c r="G67" s="1"/>
      <c r="H67" s="257"/>
      <c r="I67" s="204"/>
      <c r="J67" s="204"/>
      <c r="K67" s="204"/>
      <c r="L67" s="202"/>
    </row>
    <row r="68" spans="2:16" x14ac:dyDescent="0.2">
      <c r="B68" s="300" t="s">
        <v>26</v>
      </c>
      <c r="C68" s="1"/>
      <c r="D68" s="25">
        <f>D62-D65</f>
        <v>165.19</v>
      </c>
      <c r="E68" s="25">
        <f t="shared" ref="E68:F68" si="31">E62-E65</f>
        <v>123.78999999999999</v>
      </c>
      <c r="F68" s="25">
        <f t="shared" si="31"/>
        <v>113.49</v>
      </c>
      <c r="G68" s="25">
        <f>G62-G65</f>
        <v>140.35</v>
      </c>
      <c r="H68" s="275">
        <f>H62*H69</f>
        <v>164.922912</v>
      </c>
      <c r="I68" s="25">
        <f>I62*I69</f>
        <v>190.67409503999997</v>
      </c>
      <c r="J68" s="25">
        <f t="shared" ref="J68:L68" si="32">J62*J69</f>
        <v>212.71248214444796</v>
      </c>
      <c r="K68" s="25">
        <f t="shared" si="32"/>
        <v>234.83458028747057</v>
      </c>
      <c r="L68" s="25">
        <f t="shared" si="32"/>
        <v>259.49221121765498</v>
      </c>
      <c r="N68" s="198"/>
      <c r="O68" s="198"/>
      <c r="P68" s="198"/>
    </row>
    <row r="69" spans="2:16" x14ac:dyDescent="0.2">
      <c r="B69" s="301" t="s">
        <v>291</v>
      </c>
      <c r="C69" s="1"/>
      <c r="D69" s="196">
        <f t="shared" ref="D69:L69" si="33">D50</f>
        <v>0.61820291156768092</v>
      </c>
      <c r="E69" s="196">
        <f t="shared" si="33"/>
        <v>0.50860758453510824</v>
      </c>
      <c r="F69" s="196">
        <f t="shared" si="33"/>
        <v>0.4788405552508333</v>
      </c>
      <c r="G69" s="196">
        <f t="shared" si="33"/>
        <v>0.48732638888888885</v>
      </c>
      <c r="H69" s="277">
        <f t="shared" si="33"/>
        <v>0.46899999999999997</v>
      </c>
      <c r="I69" s="278">
        <f t="shared" si="33"/>
        <v>0.48499999999999999</v>
      </c>
      <c r="J69" s="278">
        <f t="shared" si="33"/>
        <v>0.48699999999999999</v>
      </c>
      <c r="K69" s="278">
        <f t="shared" si="33"/>
        <v>0.48699999999999999</v>
      </c>
      <c r="L69" s="278">
        <f t="shared" si="33"/>
        <v>0.48699999999999999</v>
      </c>
      <c r="N69" s="196">
        <f>AVERAGE(D69:L69)</f>
        <v>0.50088638224916793</v>
      </c>
    </row>
    <row r="70" spans="2:16" x14ac:dyDescent="0.2">
      <c r="B70" s="300"/>
      <c r="C70" s="1"/>
      <c r="D70" s="1"/>
      <c r="E70" s="1"/>
      <c r="F70" s="1"/>
      <c r="G70" s="1"/>
      <c r="H70" s="276"/>
      <c r="I70" s="26"/>
      <c r="J70" s="26"/>
      <c r="K70" s="26"/>
      <c r="L70" s="56"/>
    </row>
    <row r="71" spans="2:16" x14ac:dyDescent="0.2">
      <c r="B71" s="300" t="s">
        <v>295</v>
      </c>
      <c r="C71" s="1"/>
      <c r="D71" s="25">
        <f>-'Financials Data'!F16</f>
        <v>19.190000000000001</v>
      </c>
      <c r="E71" s="25">
        <f>-'Financials Data'!G16</f>
        <v>12.19</v>
      </c>
      <c r="F71" s="25">
        <f>-'Financials Data'!H16</f>
        <v>17.670000000000002</v>
      </c>
      <c r="G71" s="25">
        <f>-'Financials Data'!I16</f>
        <v>25.83</v>
      </c>
      <c r="H71" s="275">
        <f>H72*H62</f>
        <v>25.155290695223201</v>
      </c>
      <c r="I71" s="25">
        <f t="shared" ref="I71:L71" si="34">I72*I62</f>
        <v>28.123614997259534</v>
      </c>
      <c r="J71" s="25">
        <f t="shared" si="34"/>
        <v>31.245336261955341</v>
      </c>
      <c r="K71" s="25">
        <f t="shared" si="34"/>
        <v>34.494851233198702</v>
      </c>
      <c r="L71" s="25">
        <f t="shared" si="34"/>
        <v>38.11681061268456</v>
      </c>
    </row>
    <row r="72" spans="2:16" ht="14.5" customHeight="1" x14ac:dyDescent="0.2">
      <c r="B72" s="301" t="s">
        <v>291</v>
      </c>
      <c r="C72" s="1"/>
      <c r="D72" s="196">
        <f t="shared" ref="D72:L72" si="35">D51</f>
        <v>7.1816174544365868E-2</v>
      </c>
      <c r="E72" s="196">
        <f t="shared" si="35"/>
        <v>5.0084226960844733E-2</v>
      </c>
      <c r="F72" s="196">
        <f t="shared" si="35"/>
        <v>7.4553816294671116E-2</v>
      </c>
      <c r="G72" s="196">
        <f t="shared" si="35"/>
        <v>8.9687499999999989E-2</v>
      </c>
      <c r="H72" s="277">
        <f t="shared" si="35"/>
        <v>7.153542944997042E-2</v>
      </c>
      <c r="I72" s="278">
        <f t="shared" si="35"/>
        <v>7.153542944997042E-2</v>
      </c>
      <c r="J72" s="278">
        <f t="shared" si="35"/>
        <v>7.153542944997042E-2</v>
      </c>
      <c r="K72" s="278">
        <f t="shared" si="35"/>
        <v>7.153542944997042E-2</v>
      </c>
      <c r="L72" s="278">
        <f t="shared" si="35"/>
        <v>7.153542944997042E-2</v>
      </c>
      <c r="N72" s="196">
        <f>AVERAGE(D72:L72)</f>
        <v>7.153542944997042E-2</v>
      </c>
    </row>
    <row r="73" spans="2:16" x14ac:dyDescent="0.2">
      <c r="B73" s="300"/>
      <c r="C73" s="1"/>
      <c r="D73" s="184"/>
      <c r="E73" s="184"/>
      <c r="F73" s="184"/>
      <c r="G73" s="185"/>
      <c r="H73" s="258"/>
      <c r="I73" s="1"/>
      <c r="J73" s="1"/>
      <c r="K73" s="1"/>
    </row>
    <row r="74" spans="2:16" x14ac:dyDescent="0.2">
      <c r="B74" s="302" t="s">
        <v>30</v>
      </c>
      <c r="C74" s="186"/>
      <c r="D74" s="200">
        <f>D68-D71</f>
        <v>146</v>
      </c>
      <c r="E74" s="200">
        <f t="shared" ref="E74:L74" si="36">E68-E71</f>
        <v>111.6</v>
      </c>
      <c r="F74" s="200">
        <f t="shared" si="36"/>
        <v>95.82</v>
      </c>
      <c r="G74" s="200">
        <f>G68-G71</f>
        <v>114.52</v>
      </c>
      <c r="H74" s="259">
        <f>H68-H71</f>
        <v>139.76762130477681</v>
      </c>
      <c r="I74" s="200">
        <f t="shared" si="36"/>
        <v>162.55048004274045</v>
      </c>
      <c r="J74" s="200">
        <f t="shared" si="36"/>
        <v>181.46714588249262</v>
      </c>
      <c r="K74" s="200">
        <f t="shared" si="36"/>
        <v>200.33972905427186</v>
      </c>
      <c r="L74" s="201">
        <f t="shared" si="36"/>
        <v>221.37540060497042</v>
      </c>
    </row>
    <row r="75" spans="2:16" x14ac:dyDescent="0.2">
      <c r="B75" s="303" t="s">
        <v>291</v>
      </c>
      <c r="C75" s="187"/>
      <c r="D75" s="188">
        <f>D74/D$62</f>
        <v>0.54638673702331508</v>
      </c>
      <c r="E75" s="188">
        <f t="shared" ref="E75:G75" si="37">E74/E$62</f>
        <v>0.45852335757426355</v>
      </c>
      <c r="F75" s="188">
        <f t="shared" si="37"/>
        <v>0.40428673895616218</v>
      </c>
      <c r="G75" s="188">
        <f t="shared" si="37"/>
        <v>0.39763888888888888</v>
      </c>
      <c r="H75" s="260">
        <f>H74/H$62</f>
        <v>0.39746457055002959</v>
      </c>
      <c r="I75" s="188">
        <f>I74/I$62</f>
        <v>0.41346457055002955</v>
      </c>
      <c r="J75" s="188">
        <f>J74/J$62</f>
        <v>0.41546457055002955</v>
      </c>
      <c r="K75" s="188">
        <f>K74/K$62</f>
        <v>0.4154645705500295</v>
      </c>
      <c r="L75" s="189">
        <f>L74/L$62</f>
        <v>0.41546457055002961</v>
      </c>
    </row>
    <row r="76" spans="2:16" x14ac:dyDescent="0.2">
      <c r="B76" s="300"/>
      <c r="H76" s="256"/>
    </row>
    <row r="77" spans="2:16" x14ac:dyDescent="0.2">
      <c r="B77" s="300" t="s">
        <v>296</v>
      </c>
      <c r="D77" s="246">
        <f>-'Financials Data'!F20</f>
        <v>2.1800000000000002</v>
      </c>
      <c r="E77" s="246">
        <f>-'Financials Data'!G20</f>
        <v>0.48</v>
      </c>
      <c r="F77" s="246">
        <f>-'Financials Data'!H20</f>
        <v>1.44</v>
      </c>
      <c r="G77" s="246">
        <f>-'Financials Data'!I20</f>
        <v>4.99</v>
      </c>
      <c r="H77" s="266">
        <f ca="1">H171</f>
        <v>75.793401601383081</v>
      </c>
      <c r="I77" s="191">
        <f ca="1">I171</f>
        <v>72.204029548108551</v>
      </c>
      <c r="J77" s="191">
        <f ca="1">J171</f>
        <v>66.641831772871882</v>
      </c>
      <c r="K77" s="191">
        <f ca="1">K171</f>
        <v>59.384306536157013</v>
      </c>
      <c r="L77" s="191">
        <f ca="1">L171</f>
        <v>50.417898887557044</v>
      </c>
      <c r="N77" s="512" t="s">
        <v>297</v>
      </c>
      <c r="O77" s="513"/>
    </row>
    <row r="78" spans="2:16" x14ac:dyDescent="0.2">
      <c r="B78" t="s">
        <v>298</v>
      </c>
      <c r="D78" s="246">
        <f>'Financials Data'!F21</f>
        <v>0.08</v>
      </c>
      <c r="E78" s="246">
        <f>'Financials Data'!G21</f>
        <v>2.34</v>
      </c>
      <c r="F78" s="246">
        <f>'Financials Data'!H21</f>
        <v>3.3</v>
      </c>
      <c r="G78" s="246">
        <f>'Financials Data'!I21</f>
        <v>1.1299999999999999</v>
      </c>
      <c r="H78" s="261">
        <f>H156</f>
        <v>0.54869999999999997</v>
      </c>
      <c r="I78" s="245">
        <f t="shared" ref="I78:L78" si="38">I156</f>
        <v>0.54869999999999997</v>
      </c>
      <c r="J78" s="245">
        <f t="shared" si="38"/>
        <v>0.54869999999999997</v>
      </c>
      <c r="K78" s="245">
        <f t="shared" si="38"/>
        <v>0.54869999999999997</v>
      </c>
      <c r="L78" s="245">
        <f t="shared" si="38"/>
        <v>0.54869999999999997</v>
      </c>
      <c r="N78" s="514"/>
      <c r="O78" s="515"/>
    </row>
    <row r="79" spans="2:16" x14ac:dyDescent="0.2">
      <c r="D79" s="190"/>
      <c r="E79" s="190"/>
      <c r="F79" s="190"/>
      <c r="G79" s="190"/>
      <c r="H79" s="280"/>
      <c r="I79" s="281"/>
      <c r="J79" s="281"/>
      <c r="K79" s="281"/>
      <c r="L79" s="281"/>
    </row>
    <row r="80" spans="2:16" x14ac:dyDescent="0.2">
      <c r="B80" t="s">
        <v>299</v>
      </c>
      <c r="D80" s="242">
        <f>D74+D77+D78</f>
        <v>148.26000000000002</v>
      </c>
      <c r="E80" s="242">
        <f t="shared" ref="E80:F80" si="39">E74+E77+E78</f>
        <v>114.42</v>
      </c>
      <c r="F80" s="242">
        <f t="shared" si="39"/>
        <v>100.55999999999999</v>
      </c>
      <c r="G80" s="242">
        <f>G74+G77+G78</f>
        <v>120.63999999999999</v>
      </c>
      <c r="H80" s="266">
        <f ca="1">H74-H77+H78</f>
        <v>64.522919703393725</v>
      </c>
      <c r="I80" s="191">
        <f ca="1">I74-I77+I78</f>
        <v>90.895150494631892</v>
      </c>
      <c r="J80" s="191">
        <f t="shared" ref="J80:L80" ca="1" si="40">J74-J77+J78</f>
        <v>115.37401410962073</v>
      </c>
      <c r="K80" s="191">
        <f t="shared" ca="1" si="40"/>
        <v>141.50412251811485</v>
      </c>
      <c r="L80" s="191">
        <f t="shared" ca="1" si="40"/>
        <v>171.50620171741338</v>
      </c>
    </row>
    <row r="81" spans="2:14" x14ac:dyDescent="0.2">
      <c r="B81" s="12" t="s">
        <v>291</v>
      </c>
      <c r="D81" s="192">
        <f>D80/D$62</f>
        <v>0.55484450432244314</v>
      </c>
      <c r="E81" s="192">
        <f t="shared" ref="E81:G81" si="41">E80/E$62</f>
        <v>0.47010970048070999</v>
      </c>
      <c r="F81" s="192">
        <f t="shared" si="41"/>
        <v>0.42428589510991094</v>
      </c>
      <c r="G81" s="192">
        <f t="shared" si="41"/>
        <v>0.41888888888888887</v>
      </c>
      <c r="H81" s="282">
        <f ca="1">H80/H$62</f>
        <v>0.1834872363937623</v>
      </c>
      <c r="I81" s="192">
        <f ca="1">I80/I$62</f>
        <v>0.23120155876784632</v>
      </c>
      <c r="J81" s="192">
        <f ca="1">J80/J$62</f>
        <v>0.26414596973782639</v>
      </c>
      <c r="K81" s="192">
        <f ca="1">K80/K$62</f>
        <v>0.29345127783975988</v>
      </c>
      <c r="L81" s="192">
        <f ca="1">L80/L$62</f>
        <v>0.32187293732035399</v>
      </c>
    </row>
    <row r="82" spans="2:14" x14ac:dyDescent="0.2">
      <c r="D82" s="190"/>
      <c r="E82" s="190"/>
      <c r="F82" s="190"/>
      <c r="G82" s="190"/>
      <c r="H82" s="280"/>
      <c r="I82" s="281"/>
      <c r="J82" s="281"/>
      <c r="K82" s="281"/>
      <c r="L82" s="281"/>
    </row>
    <row r="83" spans="2:14" x14ac:dyDescent="0.2">
      <c r="B83" t="s">
        <v>205</v>
      </c>
      <c r="D83" s="191">
        <f>-'Financials Data'!F31</f>
        <v>28.81</v>
      </c>
      <c r="E83" s="191">
        <f>-'Financials Data'!G31</f>
        <v>21.66</v>
      </c>
      <c r="F83" s="191">
        <f>-'Financials Data'!H31</f>
        <v>18.73</v>
      </c>
      <c r="G83" s="191">
        <f>-'Financials Data'!I31</f>
        <v>17.84</v>
      </c>
      <c r="H83" s="266">
        <f ca="1">H80*H84</f>
        <v>12.259354743644808</v>
      </c>
      <c r="I83" s="191">
        <f ca="1">I80*I84</f>
        <v>17.27007859398006</v>
      </c>
      <c r="J83" s="191">
        <f ca="1">J80*J84</f>
        <v>21.921062680827941</v>
      </c>
      <c r="K83" s="191">
        <f ca="1">K80*K84</f>
        <v>26.885783278441824</v>
      </c>
      <c r="L83" s="191">
        <f ca="1">L80*L84</f>
        <v>32.586178326308541</v>
      </c>
    </row>
    <row r="84" spans="2:14" x14ac:dyDescent="0.2">
      <c r="B84" s="12" t="s">
        <v>206</v>
      </c>
      <c r="D84" s="192">
        <f t="shared" ref="D84:L84" si="42">D52</f>
        <v>0.19432078780520703</v>
      </c>
      <c r="E84" s="192">
        <f t="shared" si="42"/>
        <v>0.18930256948085999</v>
      </c>
      <c r="F84" s="192">
        <f t="shared" si="42"/>
        <v>0.18625696101829756</v>
      </c>
      <c r="G84" s="192">
        <f t="shared" si="42"/>
        <v>0.18625696101829756</v>
      </c>
      <c r="H84" s="263">
        <f t="shared" si="42"/>
        <v>0.19</v>
      </c>
      <c r="I84" s="205">
        <f t="shared" si="42"/>
        <v>0.19</v>
      </c>
      <c r="J84" s="205">
        <f t="shared" si="42"/>
        <v>0.19</v>
      </c>
      <c r="K84" s="205">
        <f t="shared" si="42"/>
        <v>0.19</v>
      </c>
      <c r="L84" s="205">
        <f t="shared" si="42"/>
        <v>0.19</v>
      </c>
    </row>
    <row r="85" spans="2:14" x14ac:dyDescent="0.2">
      <c r="D85" s="190"/>
      <c r="E85" s="190"/>
      <c r="F85" s="190"/>
      <c r="G85" s="190"/>
      <c r="H85" s="262"/>
      <c r="I85" s="190"/>
      <c r="J85" s="190"/>
      <c r="K85" s="190"/>
      <c r="L85" s="190"/>
    </row>
    <row r="86" spans="2:14" x14ac:dyDescent="0.2">
      <c r="B86" s="163" t="s">
        <v>14</v>
      </c>
      <c r="C86" s="164"/>
      <c r="D86" s="240">
        <f>D80+D83</f>
        <v>177.07000000000002</v>
      </c>
      <c r="E86" s="240">
        <f t="shared" ref="E86:G86" si="43">E80+E83</f>
        <v>136.08000000000001</v>
      </c>
      <c r="F86" s="240">
        <f t="shared" si="43"/>
        <v>119.28999999999999</v>
      </c>
      <c r="G86" s="240">
        <f t="shared" si="43"/>
        <v>138.47999999999999</v>
      </c>
      <c r="H86" s="264">
        <f ca="1">H80-H83</f>
        <v>52.263564959748919</v>
      </c>
      <c r="I86" s="240">
        <f ca="1">I80-I83</f>
        <v>73.625071900651832</v>
      </c>
      <c r="J86" s="240">
        <f t="shared" ref="J86:L86" ca="1" si="44">J80-J83</f>
        <v>93.452951428792787</v>
      </c>
      <c r="K86" s="240">
        <f t="shared" ca="1" si="44"/>
        <v>114.61833923967303</v>
      </c>
      <c r="L86" s="241">
        <f t="shared" ca="1" si="44"/>
        <v>138.92002339110485</v>
      </c>
      <c r="N86" s="6"/>
    </row>
    <row r="87" spans="2:14" x14ac:dyDescent="0.2">
      <c r="B87" s="165" t="s">
        <v>291</v>
      </c>
      <c r="C87" s="166"/>
      <c r="D87" s="194">
        <f>D86/D$62</f>
        <v>0.66266232551176985</v>
      </c>
      <c r="E87" s="194">
        <f t="shared" ref="E87:G87" si="45">E86/E$62</f>
        <v>0.55910267471958597</v>
      </c>
      <c r="F87" s="194">
        <f t="shared" si="45"/>
        <v>0.50331209653601117</v>
      </c>
      <c r="G87" s="194">
        <f t="shared" si="45"/>
        <v>0.48083333333333328</v>
      </c>
      <c r="H87" s="265">
        <f ca="1">H86/H$62</f>
        <v>0.14862466147894746</v>
      </c>
      <c r="I87" s="194">
        <f ca="1">I86/I$62</f>
        <v>0.18727326260195551</v>
      </c>
      <c r="J87" s="194">
        <f ca="1">J86/J$62</f>
        <v>0.21395823548763937</v>
      </c>
      <c r="K87" s="194">
        <f ca="1">K86/K$62</f>
        <v>0.23769553505020552</v>
      </c>
      <c r="L87" s="195">
        <f ca="1">L86/L$62</f>
        <v>0.26071707922948673</v>
      </c>
    </row>
    <row r="88" spans="2:14" x14ac:dyDescent="0.2">
      <c r="D88" s="190"/>
      <c r="E88" s="190"/>
      <c r="F88" s="190"/>
      <c r="G88" s="190"/>
      <c r="H88" s="262"/>
      <c r="I88" s="190"/>
      <c r="J88" s="190"/>
      <c r="K88" s="190"/>
      <c r="L88" s="190"/>
      <c r="N88" s="243"/>
    </row>
    <row r="89" spans="2:14" x14ac:dyDescent="0.2">
      <c r="B89" s="163" t="s">
        <v>300</v>
      </c>
      <c r="C89" s="164"/>
      <c r="D89" s="285">
        <f>-'Financials Data'!W18</f>
        <v>-14.87</v>
      </c>
      <c r="E89" s="285">
        <f>-'Financials Data'!X18</f>
        <v>5.51</v>
      </c>
      <c r="F89" s="285">
        <f>-'Financials Data'!Y18</f>
        <v>27.07</v>
      </c>
      <c r="G89" s="285">
        <f t="shared" ref="G89:L89" ca="1" si="46">G90*G62</f>
        <v>7.7955877243699323</v>
      </c>
      <c r="H89" s="286">
        <f t="shared" ca="1" si="46"/>
        <v>9.5184126114556875</v>
      </c>
      <c r="I89" s="285">
        <f t="shared" ca="1" si="46"/>
        <v>10.641585299607456</v>
      </c>
      <c r="J89" s="285">
        <f t="shared" ca="1" si="46"/>
        <v>11.822801267863884</v>
      </c>
      <c r="K89" s="285">
        <f t="shared" ca="1" si="46"/>
        <v>13.05237259972173</v>
      </c>
      <c r="L89" s="287">
        <f t="shared" ca="1" si="46"/>
        <v>14.422871722692511</v>
      </c>
      <c r="N89" s="244"/>
    </row>
    <row r="90" spans="2:14" x14ac:dyDescent="0.2">
      <c r="B90" s="165" t="s">
        <v>291</v>
      </c>
      <c r="C90" s="166"/>
      <c r="D90" s="291">
        <f t="shared" ref="D90:E90" si="47">D89/D$62</f>
        <v>-5.5649114928333521E-2</v>
      </c>
      <c r="E90" s="291">
        <f t="shared" si="47"/>
        <v>2.263856362217018E-2</v>
      </c>
      <c r="F90" s="291">
        <f>F89/F$62</f>
        <v>0.11421459010168347</v>
      </c>
      <c r="G90" s="370">
        <f t="shared" ref="G90:L90" ca="1" si="48">AVERAGE($D90:$G90)</f>
        <v>2.7068012931840042E-2</v>
      </c>
      <c r="H90" s="292">
        <f t="shared" ca="1" si="48"/>
        <v>2.7068012931840042E-2</v>
      </c>
      <c r="I90" s="293">
        <f t="shared" ca="1" si="48"/>
        <v>2.7068012931840042E-2</v>
      </c>
      <c r="J90" s="293">
        <f t="shared" ca="1" si="48"/>
        <v>2.7068012931840042E-2</v>
      </c>
      <c r="K90" s="293">
        <f t="shared" ca="1" si="48"/>
        <v>2.7068012931840042E-2</v>
      </c>
      <c r="L90" s="294">
        <f t="shared" ca="1" si="48"/>
        <v>2.7068012931840042E-2</v>
      </c>
    </row>
    <row r="91" spans="2:14" x14ac:dyDescent="0.2">
      <c r="D91" s="190"/>
      <c r="E91" s="190"/>
      <c r="F91" s="190"/>
      <c r="G91" s="190"/>
      <c r="H91" s="262"/>
      <c r="I91" s="190"/>
      <c r="J91" s="190"/>
      <c r="K91" s="190"/>
      <c r="L91" s="190"/>
    </row>
    <row r="92" spans="2:14" x14ac:dyDescent="0.2">
      <c r="B92" s="163" t="s">
        <v>289</v>
      </c>
      <c r="C92" s="164"/>
      <c r="D92" s="288">
        <f>'Financials Data'!W6+'Financials Data'!W7</f>
        <v>7.56</v>
      </c>
      <c r="E92" s="288">
        <f>'Financials Data'!X6+'Financials Data'!X7</f>
        <v>7.51</v>
      </c>
      <c r="F92" s="288">
        <f>'Financials Data'!Y6+'Financials Data'!Y7</f>
        <v>20.05</v>
      </c>
      <c r="G92" s="288">
        <f>(G93*G62) -(2.2)</f>
        <v>11.599401834271038</v>
      </c>
      <c r="H92" s="289">
        <f t="shared" ref="H92:L92" si="49">H93*H62</f>
        <v>16.849069639644942</v>
      </c>
      <c r="I92" s="288">
        <f t="shared" si="49"/>
        <v>18.837259857123041</v>
      </c>
      <c r="J92" s="288">
        <f t="shared" si="49"/>
        <v>20.928195701263697</v>
      </c>
      <c r="K92" s="288">
        <f t="shared" si="49"/>
        <v>23.104728054195125</v>
      </c>
      <c r="L92" s="290">
        <f t="shared" si="49"/>
        <v>25.530724499885611</v>
      </c>
    </row>
    <row r="93" spans="2:14" x14ac:dyDescent="0.2">
      <c r="B93" s="165" t="s">
        <v>291</v>
      </c>
      <c r="C93" s="166"/>
      <c r="D93" s="291">
        <f>D92/D$62</f>
        <v>2.8292354328056584E-2</v>
      </c>
      <c r="E93" s="291">
        <f>E92/E$62</f>
        <v>3.0855828094827231E-2</v>
      </c>
      <c r="F93" s="291">
        <f t="shared" ref="F93" si="50">F92/F$62</f>
        <v>8.4595586684106161E-2</v>
      </c>
      <c r="G93" s="291">
        <f>AVERAGE(D93:F93)</f>
        <v>4.791458970233E-2</v>
      </c>
      <c r="H93" s="295">
        <f>AVERAGE($D93:$G93)</f>
        <v>4.791458970233E-2</v>
      </c>
      <c r="I93" s="296">
        <f t="shared" ref="I93:L93" si="51">AVERAGE($D93:$G93)</f>
        <v>4.791458970233E-2</v>
      </c>
      <c r="J93" s="296">
        <f t="shared" si="51"/>
        <v>4.791458970233E-2</v>
      </c>
      <c r="K93" s="296">
        <f t="shared" si="51"/>
        <v>4.791458970233E-2</v>
      </c>
      <c r="L93" s="297">
        <f t="shared" si="51"/>
        <v>4.791458970233E-2</v>
      </c>
    </row>
    <row r="94" spans="2:14" x14ac:dyDescent="0.2">
      <c r="D94" s="190"/>
      <c r="E94" s="190"/>
      <c r="F94" s="190"/>
      <c r="G94" s="190"/>
      <c r="H94" s="262"/>
      <c r="I94" s="190"/>
      <c r="J94" s="190"/>
      <c r="K94" s="190"/>
      <c r="L94" s="190"/>
    </row>
    <row r="95" spans="2:14" x14ac:dyDescent="0.2">
      <c r="B95" s="163" t="s">
        <v>301</v>
      </c>
      <c r="C95" s="164"/>
      <c r="D95" s="288">
        <f>-'Financials Data'!W19</f>
        <v>1.77</v>
      </c>
      <c r="E95" s="288">
        <f>-'Financials Data'!X19</f>
        <v>11.2</v>
      </c>
      <c r="F95" s="288">
        <f>-'Financials Data'!Y19</f>
        <v>62.56</v>
      </c>
      <c r="G95" s="288">
        <f>-'Financials Data'!L43</f>
        <v>124.85</v>
      </c>
      <c r="H95" s="289">
        <f>H96*H62</f>
        <v>28.131840000000004</v>
      </c>
      <c r="I95" s="285">
        <f>I96*I62</f>
        <v>23.588547839999997</v>
      </c>
      <c r="J95" s="285">
        <f>J96*J62</f>
        <v>21.839063875199997</v>
      </c>
      <c r="K95" s="285">
        <f>K96*K62</f>
        <v>24.110326518220802</v>
      </c>
      <c r="L95" s="287">
        <f>L96*L62</f>
        <v>26.641910802633983</v>
      </c>
      <c r="M95" s="167"/>
    </row>
    <row r="96" spans="2:14" x14ac:dyDescent="0.2">
      <c r="B96" s="165" t="s">
        <v>291</v>
      </c>
      <c r="C96" s="166"/>
      <c r="D96" s="291">
        <f t="shared" ref="D96:F96" si="52">D95/D$62</f>
        <v>6.6240035926799154E-3</v>
      </c>
      <c r="E96" s="291">
        <f t="shared" si="52"/>
        <v>4.601668104687949E-2</v>
      </c>
      <c r="F96" s="291">
        <f t="shared" si="52"/>
        <v>0.26395510737943551</v>
      </c>
      <c r="G96" s="291">
        <f>G95/G$62</f>
        <v>0.43350694444444443</v>
      </c>
      <c r="H96" s="292">
        <v>0.08</v>
      </c>
      <c r="I96" s="293">
        <v>0.06</v>
      </c>
      <c r="J96" s="293">
        <v>0.05</v>
      </c>
      <c r="K96" s="293">
        <v>0.05</v>
      </c>
      <c r="L96" s="294">
        <v>0.05</v>
      </c>
      <c r="N96" s="2"/>
    </row>
    <row r="97" spans="1:15" x14ac:dyDescent="0.2">
      <c r="H97" s="256"/>
    </row>
    <row r="98" spans="1:15" x14ac:dyDescent="0.2">
      <c r="A98" s="1" t="s">
        <v>225</v>
      </c>
      <c r="B98" s="20" t="s">
        <v>2438</v>
      </c>
      <c r="C98" s="20"/>
      <c r="D98" s="180">
        <v>2021</v>
      </c>
      <c r="E98" s="180">
        <v>2022</v>
      </c>
      <c r="F98" s="180">
        <v>2023</v>
      </c>
      <c r="G98" s="179" t="s">
        <v>285</v>
      </c>
      <c r="H98" s="255" t="s">
        <v>179</v>
      </c>
      <c r="I98" s="179" t="s">
        <v>196</v>
      </c>
      <c r="J98" s="179" t="s">
        <v>197</v>
      </c>
      <c r="K98" s="179" t="s">
        <v>198</v>
      </c>
      <c r="L98" s="179" t="s">
        <v>199</v>
      </c>
      <c r="N98" s="229"/>
    </row>
    <row r="99" spans="1:15" ht="5" customHeight="1" x14ac:dyDescent="0.2">
      <c r="H99" s="256"/>
    </row>
    <row r="100" spans="1:15" x14ac:dyDescent="0.2">
      <c r="B100" s="113" t="s">
        <v>14</v>
      </c>
      <c r="C100" s="190"/>
      <c r="D100" s="242">
        <f>D86</f>
        <v>177.07000000000002</v>
      </c>
      <c r="E100" s="252">
        <f>'Financials Data'!G35</f>
        <v>92.15</v>
      </c>
      <c r="F100" s="252">
        <f>'Financials Data'!H35</f>
        <v>78.86</v>
      </c>
      <c r="G100" s="245">
        <f t="shared" ref="G100:L100" si="53">G86</f>
        <v>138.47999999999999</v>
      </c>
      <c r="H100" s="266">
        <f ca="1">H86</f>
        <v>52.263564959748919</v>
      </c>
      <c r="I100" s="191">
        <f t="shared" ca="1" si="53"/>
        <v>73.625071900651832</v>
      </c>
      <c r="J100" s="191">
        <f t="shared" ca="1" si="53"/>
        <v>93.452951428792787</v>
      </c>
      <c r="K100" s="191">
        <f t="shared" ca="1" si="53"/>
        <v>114.61833923967303</v>
      </c>
      <c r="L100" s="191">
        <f t="shared" ca="1" si="53"/>
        <v>138.92002339110485</v>
      </c>
    </row>
    <row r="101" spans="1:15" x14ac:dyDescent="0.2">
      <c r="B101" s="113" t="s">
        <v>289</v>
      </c>
      <c r="C101" s="190"/>
      <c r="D101" s="242">
        <f t="shared" ref="D101:L101" si="54">D92</f>
        <v>7.56</v>
      </c>
      <c r="E101" s="245">
        <f t="shared" si="54"/>
        <v>7.51</v>
      </c>
      <c r="F101" s="245">
        <f t="shared" si="54"/>
        <v>20.05</v>
      </c>
      <c r="G101" s="245">
        <f t="shared" si="54"/>
        <v>11.599401834271038</v>
      </c>
      <c r="H101" s="261">
        <f t="shared" si="54"/>
        <v>16.849069639644942</v>
      </c>
      <c r="I101" s="245">
        <f t="shared" si="54"/>
        <v>18.837259857123041</v>
      </c>
      <c r="J101" s="245">
        <f t="shared" si="54"/>
        <v>20.928195701263697</v>
      </c>
      <c r="K101" s="245">
        <f t="shared" si="54"/>
        <v>23.104728054195125</v>
      </c>
      <c r="L101" s="245">
        <f t="shared" si="54"/>
        <v>25.530724499885611</v>
      </c>
    </row>
    <row r="102" spans="1:15" x14ac:dyDescent="0.2">
      <c r="B102" s="113" t="s">
        <v>301</v>
      </c>
      <c r="C102" s="190"/>
      <c r="D102" s="242">
        <f>D95</f>
        <v>1.77</v>
      </c>
      <c r="E102" s="245">
        <f t="shared" ref="E102:L102" si="55">E95</f>
        <v>11.2</v>
      </c>
      <c r="F102" s="245">
        <f t="shared" si="55"/>
        <v>62.56</v>
      </c>
      <c r="G102" s="245">
        <f t="shared" si="55"/>
        <v>124.85</v>
      </c>
      <c r="H102" s="261">
        <f t="shared" si="55"/>
        <v>28.131840000000004</v>
      </c>
      <c r="I102" s="245">
        <f t="shared" si="55"/>
        <v>23.588547839999997</v>
      </c>
      <c r="J102" s="245">
        <f t="shared" si="55"/>
        <v>21.839063875199997</v>
      </c>
      <c r="K102" s="245">
        <f t="shared" si="55"/>
        <v>24.110326518220802</v>
      </c>
      <c r="L102" s="245">
        <f t="shared" si="55"/>
        <v>26.641910802633983</v>
      </c>
    </row>
    <row r="103" spans="1:15" x14ac:dyDescent="0.2">
      <c r="B103" s="113" t="s">
        <v>302</v>
      </c>
      <c r="C103" s="190"/>
      <c r="D103" s="242">
        <f t="shared" ref="D103:L103" si="56">D89</f>
        <v>-14.87</v>
      </c>
      <c r="E103" s="245">
        <f t="shared" si="56"/>
        <v>5.51</v>
      </c>
      <c r="F103" s="245">
        <f t="shared" si="56"/>
        <v>27.07</v>
      </c>
      <c r="G103" s="245">
        <f t="shared" ca="1" si="56"/>
        <v>7.7955877243699323</v>
      </c>
      <c r="H103" s="261">
        <f t="shared" ca="1" si="56"/>
        <v>9.5184126114556875</v>
      </c>
      <c r="I103" s="245">
        <f t="shared" ca="1" si="56"/>
        <v>10.641585299607456</v>
      </c>
      <c r="J103" s="245">
        <f t="shared" ca="1" si="56"/>
        <v>11.822801267863884</v>
      </c>
      <c r="K103" s="245">
        <f t="shared" ca="1" si="56"/>
        <v>13.05237259972173</v>
      </c>
      <c r="L103" s="245">
        <f t="shared" ca="1" si="56"/>
        <v>14.422871722692511</v>
      </c>
    </row>
    <row r="104" spans="1:15" x14ac:dyDescent="0.2">
      <c r="B104" s="230" t="s">
        <v>303</v>
      </c>
      <c r="C104" s="207"/>
      <c r="D104" s="207"/>
      <c r="E104" s="207"/>
      <c r="F104" s="207"/>
      <c r="G104" s="206"/>
      <c r="H104" s="332">
        <f>H137+H143</f>
        <v>4.2</v>
      </c>
      <c r="I104" s="333">
        <f ca="1">I137+I143</f>
        <v>4.0739999999999998</v>
      </c>
      <c r="J104" s="333">
        <f ca="1">J137+J143</f>
        <v>3.9517799999999998</v>
      </c>
      <c r="K104" s="333">
        <f ca="1">K137+K143</f>
        <v>3.8332265999999997</v>
      </c>
      <c r="L104" s="333">
        <f ca="1">L137+L143</f>
        <v>3.7182298019999998</v>
      </c>
      <c r="N104" s="112" t="s">
        <v>304</v>
      </c>
    </row>
    <row r="105" spans="1:15" x14ac:dyDescent="0.2">
      <c r="B105" s="231" t="s">
        <v>305</v>
      </c>
      <c r="C105" s="228"/>
      <c r="D105" s="228"/>
      <c r="E105" s="228"/>
      <c r="F105" s="228"/>
      <c r="G105" s="208"/>
      <c r="H105" s="267">
        <f ca="1">H100+H101-H102-H103-H104</f>
        <v>27.262381987938166</v>
      </c>
      <c r="I105" s="212">
        <f ca="1">I100+I101-I102-I103-I104</f>
        <v>54.158198618167432</v>
      </c>
      <c r="J105" s="212">
        <f ca="1">J100+J101-J102-J103-J104</f>
        <v>76.767501986992613</v>
      </c>
      <c r="K105" s="212">
        <f ca="1">K100+K101-K102-K103-K104</f>
        <v>96.727141575925614</v>
      </c>
      <c r="L105" s="212">
        <f ca="1">L100+L101-L102-L103-L104</f>
        <v>119.66773556366398</v>
      </c>
      <c r="N105" s="112" t="s">
        <v>306</v>
      </c>
    </row>
    <row r="106" spans="1:15" x14ac:dyDescent="0.2">
      <c r="B106" s="231"/>
      <c r="C106" s="228"/>
      <c r="D106" s="228"/>
      <c r="E106" s="228"/>
      <c r="F106" s="228"/>
      <c r="G106" s="208"/>
      <c r="H106" s="267"/>
      <c r="I106" s="208"/>
      <c r="J106" s="208"/>
      <c r="K106" s="208"/>
      <c r="L106" s="208"/>
    </row>
    <row r="107" spans="1:15" x14ac:dyDescent="0.2">
      <c r="B107" s="113" t="s">
        <v>266</v>
      </c>
      <c r="C107" s="190"/>
      <c r="D107" s="242"/>
      <c r="E107" s="245"/>
      <c r="F107" s="245"/>
      <c r="G107" s="208"/>
      <c r="H107" s="266">
        <v>0</v>
      </c>
      <c r="I107" s="191">
        <v>0</v>
      </c>
      <c r="J107" s="191">
        <v>0</v>
      </c>
      <c r="K107" s="191">
        <v>0</v>
      </c>
      <c r="L107" s="191">
        <v>0</v>
      </c>
    </row>
    <row r="108" spans="1:15" x14ac:dyDescent="0.2">
      <c r="B108" s="231" t="s">
        <v>307</v>
      </c>
      <c r="C108" s="228"/>
      <c r="D108" s="228"/>
      <c r="E108" s="228"/>
      <c r="F108" s="228"/>
      <c r="G108" s="208"/>
      <c r="H108" s="407">
        <f ca="1">H105+H107</f>
        <v>27.262381987938166</v>
      </c>
      <c r="I108" s="212">
        <f ca="1">I105+I107</f>
        <v>54.158198618167432</v>
      </c>
      <c r="J108" s="212">
        <f t="shared" ref="J108:L108" ca="1" si="57">J105+J107</f>
        <v>76.767501986992613</v>
      </c>
      <c r="K108" s="212">
        <f t="shared" ca="1" si="57"/>
        <v>96.727141575925614</v>
      </c>
      <c r="L108" s="212">
        <f t="shared" ca="1" si="57"/>
        <v>119.66773556366398</v>
      </c>
    </row>
    <row r="109" spans="1:15" x14ac:dyDescent="0.2">
      <c r="H109" s="256"/>
    </row>
    <row r="110" spans="1:15" x14ac:dyDescent="0.2">
      <c r="A110" s="1" t="s">
        <v>225</v>
      </c>
      <c r="B110" s="20" t="s">
        <v>308</v>
      </c>
      <c r="C110" s="20"/>
      <c r="D110" s="20"/>
      <c r="E110" s="20"/>
      <c r="F110" s="20"/>
      <c r="G110" s="20"/>
      <c r="H110" s="268"/>
      <c r="I110" s="20"/>
      <c r="J110" s="20"/>
      <c r="K110" s="20"/>
      <c r="L110" s="30"/>
      <c r="N110" s="527" t="s">
        <v>309</v>
      </c>
    </row>
    <row r="111" spans="1:15" ht="5" customHeight="1" x14ac:dyDescent="0.2">
      <c r="H111" s="256"/>
      <c r="N111" s="527"/>
      <c r="O111" s="6"/>
    </row>
    <row r="112" spans="1:15" x14ac:dyDescent="0.2">
      <c r="B112" s="20" t="s">
        <v>310</v>
      </c>
      <c r="C112" s="20"/>
      <c r="D112" s="180">
        <v>2021</v>
      </c>
      <c r="E112" s="180">
        <v>2022</v>
      </c>
      <c r="F112" s="180">
        <v>2023</v>
      </c>
      <c r="G112" s="179" t="s">
        <v>311</v>
      </c>
      <c r="H112" s="255" t="s">
        <v>179</v>
      </c>
      <c r="I112" s="179" t="s">
        <v>196</v>
      </c>
      <c r="J112" s="179" t="s">
        <v>197</v>
      </c>
      <c r="K112" s="179" t="s">
        <v>198</v>
      </c>
      <c r="L112" s="179" t="s">
        <v>199</v>
      </c>
      <c r="N112" s="527"/>
    </row>
    <row r="113" spans="1:15" x14ac:dyDescent="0.2">
      <c r="B113" s="13" t="s">
        <v>252</v>
      </c>
      <c r="D113" s="190"/>
      <c r="E113" s="190"/>
      <c r="F113" s="190"/>
      <c r="G113" s="190"/>
      <c r="H113" s="262"/>
      <c r="I113" s="190"/>
      <c r="J113" s="190"/>
      <c r="K113" s="190"/>
      <c r="L113" s="190"/>
    </row>
    <row r="114" spans="1:15" x14ac:dyDescent="0.2">
      <c r="B114" s="3" t="s">
        <v>312</v>
      </c>
      <c r="D114" s="322"/>
      <c r="E114" s="322"/>
      <c r="F114" s="322"/>
      <c r="G114" s="322"/>
      <c r="H114" s="269">
        <f>G116</f>
        <v>54.87</v>
      </c>
      <c r="I114" s="193">
        <f>H116</f>
        <v>54.87</v>
      </c>
      <c r="J114" s="193">
        <f>I116</f>
        <v>54.87</v>
      </c>
      <c r="K114" s="193">
        <f>J116</f>
        <v>54.87</v>
      </c>
      <c r="L114" s="193">
        <f>K116</f>
        <v>54.87</v>
      </c>
      <c r="M114" s="190"/>
      <c r="N114" s="330"/>
    </row>
    <row r="115" spans="1:15" x14ac:dyDescent="0.2">
      <c r="B115" s="3" t="s">
        <v>313</v>
      </c>
      <c r="D115" s="322"/>
      <c r="E115" s="322"/>
      <c r="F115" s="322"/>
      <c r="G115" s="322"/>
      <c r="H115" s="269">
        <v>0</v>
      </c>
      <c r="I115" s="193">
        <v>0</v>
      </c>
      <c r="J115" s="193">
        <v>0</v>
      </c>
      <c r="K115" s="193">
        <v>0</v>
      </c>
      <c r="L115" s="193">
        <v>0</v>
      </c>
      <c r="M115" s="190"/>
      <c r="O115" s="23"/>
    </row>
    <row r="116" spans="1:15" x14ac:dyDescent="0.2">
      <c r="B116" s="168" t="s">
        <v>314</v>
      </c>
      <c r="D116" s="322"/>
      <c r="E116" s="322"/>
      <c r="F116" s="322"/>
      <c r="G116" s="191">
        <f>E19</f>
        <v>54.87</v>
      </c>
      <c r="H116" s="267">
        <f>H114+H115</f>
        <v>54.87</v>
      </c>
      <c r="I116" s="208">
        <f>I114+I115</f>
        <v>54.87</v>
      </c>
      <c r="J116" s="208">
        <f>J114+J115</f>
        <v>54.87</v>
      </c>
      <c r="K116" s="208">
        <f>K114+K115</f>
        <v>54.87</v>
      </c>
      <c r="L116" s="208">
        <f>L114+L115</f>
        <v>54.87</v>
      </c>
      <c r="M116" s="190"/>
    </row>
    <row r="117" spans="1:15" x14ac:dyDescent="0.2">
      <c r="B117" s="168"/>
      <c r="D117" s="322"/>
      <c r="E117" s="322"/>
      <c r="F117" s="322"/>
      <c r="G117" s="191"/>
      <c r="H117" s="267"/>
      <c r="I117" s="208"/>
      <c r="J117" s="208"/>
      <c r="K117" s="208"/>
      <c r="L117" s="208"/>
      <c r="M117" s="190"/>
    </row>
    <row r="118" spans="1:15" x14ac:dyDescent="0.2">
      <c r="B118" s="13" t="str">
        <f>B25</f>
        <v>Revolver</v>
      </c>
      <c r="D118" s="322"/>
      <c r="E118" s="322"/>
      <c r="F118" s="322"/>
      <c r="G118" s="191"/>
      <c r="H118" s="267"/>
      <c r="I118" s="208"/>
      <c r="J118" s="208"/>
      <c r="K118" s="208"/>
      <c r="L118" s="208"/>
      <c r="M118" s="190"/>
    </row>
    <row r="119" spans="1:15" x14ac:dyDescent="0.2">
      <c r="B119" s="3" t="s">
        <v>315</v>
      </c>
      <c r="D119" s="322"/>
      <c r="E119" s="322"/>
      <c r="F119" s="322"/>
      <c r="G119" s="191"/>
      <c r="H119" s="269">
        <f>H114</f>
        <v>54.87</v>
      </c>
      <c r="I119" s="193">
        <f>I114</f>
        <v>54.87</v>
      </c>
      <c r="J119" s="193">
        <f t="shared" ref="J119:L119" si="58">J114</f>
        <v>54.87</v>
      </c>
      <c r="K119" s="193">
        <f t="shared" si="58"/>
        <v>54.87</v>
      </c>
      <c r="L119" s="193">
        <f t="shared" si="58"/>
        <v>54.87</v>
      </c>
      <c r="M119" s="190"/>
    </row>
    <row r="120" spans="1:15" x14ac:dyDescent="0.2">
      <c r="B120" s="3" t="s">
        <v>316</v>
      </c>
      <c r="D120" s="322"/>
      <c r="E120" s="322"/>
      <c r="F120" s="322"/>
      <c r="G120" s="191"/>
      <c r="H120" s="269">
        <f>H119</f>
        <v>54.87</v>
      </c>
      <c r="I120" s="193">
        <f>I119</f>
        <v>54.87</v>
      </c>
      <c r="J120" s="193">
        <f t="shared" ref="J120:L120" si="59">J119</f>
        <v>54.87</v>
      </c>
      <c r="K120" s="193">
        <f t="shared" si="59"/>
        <v>54.87</v>
      </c>
      <c r="L120" s="193">
        <f t="shared" si="59"/>
        <v>54.87</v>
      </c>
      <c r="M120" s="190"/>
    </row>
    <row r="121" spans="1:15" x14ac:dyDescent="0.2">
      <c r="B121" s="3" t="s">
        <v>317</v>
      </c>
      <c r="D121" s="322"/>
      <c r="E121" s="322"/>
      <c r="F121" s="322"/>
      <c r="G121" s="191"/>
      <c r="H121" s="269">
        <f>H119-H120</f>
        <v>0</v>
      </c>
      <c r="I121" s="193">
        <f>I119-I120</f>
        <v>0</v>
      </c>
      <c r="J121" s="193">
        <f t="shared" ref="J121:L121" si="60">J119-J120</f>
        <v>0</v>
      </c>
      <c r="K121" s="193">
        <f t="shared" si="60"/>
        <v>0</v>
      </c>
      <c r="L121" s="193">
        <f t="shared" si="60"/>
        <v>0</v>
      </c>
      <c r="M121" s="190"/>
    </row>
    <row r="122" spans="1:15" x14ac:dyDescent="0.2">
      <c r="B122" s="3" t="s">
        <v>318</v>
      </c>
      <c r="D122" s="322"/>
      <c r="E122" s="322"/>
      <c r="F122" s="322"/>
      <c r="G122" s="191"/>
      <c r="H122" s="269">
        <f ca="1">H108</f>
        <v>27.262381987938166</v>
      </c>
      <c r="I122" s="193">
        <f ca="1">I108</f>
        <v>54.158198618167432</v>
      </c>
      <c r="J122" s="193">
        <f t="shared" ref="J122:L122" ca="1" si="61">J108</f>
        <v>76.767501986992613</v>
      </c>
      <c r="K122" s="193">
        <f t="shared" ca="1" si="61"/>
        <v>96.727141575925614</v>
      </c>
      <c r="L122" s="193">
        <f t="shared" ca="1" si="61"/>
        <v>119.66773556366398</v>
      </c>
      <c r="M122" s="190"/>
    </row>
    <row r="123" spans="1:15" x14ac:dyDescent="0.2">
      <c r="B123" s="168" t="s">
        <v>319</v>
      </c>
      <c r="D123" s="322"/>
      <c r="E123" s="322"/>
      <c r="F123" s="322"/>
      <c r="G123" s="191"/>
      <c r="H123" s="267">
        <f ca="1">H122</f>
        <v>27.262381987938166</v>
      </c>
      <c r="I123" s="208">
        <f ca="1">I122</f>
        <v>54.158198618167432</v>
      </c>
      <c r="J123" s="208">
        <f t="shared" ref="J123:L123" ca="1" si="62">J122</f>
        <v>76.767501986992613</v>
      </c>
      <c r="K123" s="208">
        <f t="shared" ca="1" si="62"/>
        <v>96.727141575925614</v>
      </c>
      <c r="L123" s="208">
        <f t="shared" ca="1" si="62"/>
        <v>119.66773556366398</v>
      </c>
      <c r="M123" s="190"/>
    </row>
    <row r="124" spans="1:15" x14ac:dyDescent="0.2">
      <c r="B124" s="168"/>
      <c r="D124" s="322"/>
      <c r="E124" s="322"/>
      <c r="F124" s="322"/>
      <c r="G124" s="191"/>
      <c r="H124" s="267"/>
      <c r="I124" s="208"/>
      <c r="J124" s="208"/>
      <c r="K124" s="208"/>
      <c r="L124" s="208"/>
      <c r="M124" s="190"/>
    </row>
    <row r="125" spans="1:15" x14ac:dyDescent="0.2">
      <c r="B125" s="3" t="s">
        <v>312</v>
      </c>
      <c r="D125" s="322"/>
      <c r="E125" s="322"/>
      <c r="F125" s="322"/>
      <c r="G125" s="191"/>
      <c r="H125" s="269">
        <v>0</v>
      </c>
      <c r="I125" s="193">
        <v>0</v>
      </c>
      <c r="J125" s="193">
        <v>0</v>
      </c>
      <c r="K125" s="193">
        <v>0</v>
      </c>
      <c r="L125" s="193">
        <v>0</v>
      </c>
      <c r="M125" s="190"/>
    </row>
    <row r="126" spans="1:15" x14ac:dyDescent="0.2">
      <c r="B126" s="3" t="s">
        <v>320</v>
      </c>
      <c r="D126" s="322"/>
      <c r="E126" s="322"/>
      <c r="F126" s="322"/>
      <c r="G126" s="191"/>
      <c r="H126" s="269">
        <v>0</v>
      </c>
      <c r="I126" s="193">
        <v>0</v>
      </c>
      <c r="J126" s="193">
        <v>0</v>
      </c>
      <c r="K126" s="193">
        <v>0</v>
      </c>
      <c r="L126" s="193">
        <v>0</v>
      </c>
      <c r="M126" s="190"/>
    </row>
    <row r="127" spans="1:15" x14ac:dyDescent="0.2">
      <c r="A127"/>
      <c r="B127" s="168" t="s">
        <v>314</v>
      </c>
      <c r="G127" s="1">
        <v>0</v>
      </c>
      <c r="H127" s="269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5" x14ac:dyDescent="0.2">
      <c r="A128"/>
      <c r="B128" s="3" t="s">
        <v>321</v>
      </c>
      <c r="G128" s="1"/>
      <c r="H128" s="269">
        <v>75</v>
      </c>
      <c r="I128" s="1">
        <v>75</v>
      </c>
      <c r="J128" s="1">
        <v>75</v>
      </c>
      <c r="K128" s="1">
        <v>75</v>
      </c>
      <c r="L128" s="1">
        <v>75</v>
      </c>
    </row>
    <row r="129" spans="2:16" x14ac:dyDescent="0.2">
      <c r="B129" s="3"/>
      <c r="D129" s="190"/>
      <c r="E129" s="190"/>
      <c r="G129" s="281"/>
      <c r="H129" s="262"/>
      <c r="I129" s="190"/>
      <c r="J129" s="190"/>
      <c r="K129" s="190"/>
      <c r="L129" s="190"/>
      <c r="M129" s="190"/>
    </row>
    <row r="130" spans="2:16" x14ac:dyDescent="0.2">
      <c r="B130" s="13" t="str">
        <f>B37</f>
        <v>Senior debt - PLN Term loan A</v>
      </c>
      <c r="D130" s="190"/>
      <c r="E130" s="190"/>
      <c r="G130" s="281"/>
      <c r="H130" s="262"/>
      <c r="I130" s="190"/>
      <c r="J130" s="190"/>
      <c r="K130" s="190"/>
      <c r="L130" s="190"/>
      <c r="M130" s="190"/>
    </row>
    <row r="131" spans="2:16" x14ac:dyDescent="0.2">
      <c r="B131" s="3" t="s">
        <v>312</v>
      </c>
      <c r="D131" s="190"/>
      <c r="E131" s="190"/>
      <c r="G131" s="281"/>
      <c r="H131" s="269">
        <f>G133</f>
        <v>540</v>
      </c>
      <c r="I131" s="193">
        <f ca="1">H133</f>
        <v>512.73761801206183</v>
      </c>
      <c r="J131" s="193">
        <f ca="1">I133</f>
        <v>458.5794193938944</v>
      </c>
      <c r="K131" s="193">
        <f ca="1">J133</f>
        <v>381.81191740690178</v>
      </c>
      <c r="L131" s="193">
        <f ca="1">K133</f>
        <v>285.08477583097618</v>
      </c>
      <c r="M131" s="190"/>
    </row>
    <row r="132" spans="2:16" x14ac:dyDescent="0.2">
      <c r="B132" s="3" t="s">
        <v>322</v>
      </c>
      <c r="D132" s="190"/>
      <c r="E132" s="190"/>
      <c r="G132" s="281"/>
      <c r="H132" s="269">
        <f ca="1">MIN(H108,H131)</f>
        <v>27.262381987938166</v>
      </c>
      <c r="I132" s="193">
        <f ca="1">MIN(I108,I131)</f>
        <v>54.158198618167432</v>
      </c>
      <c r="J132" s="193">
        <f ca="1">MIN(J108,J131)</f>
        <v>76.767501986992613</v>
      </c>
      <c r="K132" s="193">
        <f ca="1">MIN(K108,K131)</f>
        <v>96.727141575925614</v>
      </c>
      <c r="L132" s="193">
        <f ca="1">MIN(L108,L131)</f>
        <v>119.66773556366398</v>
      </c>
      <c r="M132" s="190"/>
      <c r="O132" s="23"/>
    </row>
    <row r="133" spans="2:16" x14ac:dyDescent="0.2">
      <c r="B133" s="168" t="s">
        <v>314</v>
      </c>
      <c r="D133" s="190"/>
      <c r="E133" s="190"/>
      <c r="G133" s="373">
        <f>E26</f>
        <v>540</v>
      </c>
      <c r="H133" s="267">
        <f ca="1">H131-H132</f>
        <v>512.73761801206183</v>
      </c>
      <c r="I133" s="208">
        <f ca="1">I131-I132</f>
        <v>458.5794193938944</v>
      </c>
      <c r="J133" s="208">
        <f ca="1">J131-J132</f>
        <v>381.81191740690178</v>
      </c>
      <c r="K133" s="208">
        <f ca="1">K131-K132</f>
        <v>285.08477583097618</v>
      </c>
      <c r="L133" s="208">
        <f ca="1">L131-L132</f>
        <v>165.41704026731219</v>
      </c>
      <c r="M133" s="190"/>
      <c r="O133" s="23"/>
    </row>
    <row r="134" spans="2:16" x14ac:dyDescent="0.2">
      <c r="B134" s="2"/>
      <c r="D134" s="190"/>
      <c r="E134" s="190"/>
      <c r="G134" s="281"/>
      <c r="H134" s="262"/>
      <c r="I134" s="190"/>
      <c r="J134" s="190"/>
      <c r="K134" s="190"/>
      <c r="L134" s="190"/>
      <c r="M134" s="190"/>
    </row>
    <row r="135" spans="2:16" x14ac:dyDescent="0.2">
      <c r="B135" s="13" t="str">
        <f>B38</f>
        <v>Senior debt - PLN Term loan B</v>
      </c>
      <c r="D135" s="190"/>
      <c r="E135" s="190"/>
      <c r="G135" s="281"/>
      <c r="H135" s="262"/>
      <c r="I135" s="190"/>
      <c r="J135" s="190"/>
      <c r="K135" s="190"/>
      <c r="L135" s="190"/>
      <c r="M135" s="190"/>
    </row>
    <row r="136" spans="2:16" x14ac:dyDescent="0.2">
      <c r="B136" s="3" t="s">
        <v>312</v>
      </c>
      <c r="D136" s="190"/>
      <c r="E136" s="190"/>
      <c r="G136" s="281"/>
      <c r="H136" s="269">
        <f>G139</f>
        <v>140</v>
      </c>
      <c r="I136" s="193">
        <f ca="1">H139</f>
        <v>135.80000000000001</v>
      </c>
      <c r="J136" s="193">
        <f ca="1">I139</f>
        <v>131.726</v>
      </c>
      <c r="K136" s="193">
        <f ca="1">J139</f>
        <v>127.77422</v>
      </c>
      <c r="L136" s="193">
        <f ca="1">K139</f>
        <v>123.9409934</v>
      </c>
      <c r="M136" s="190"/>
    </row>
    <row r="137" spans="2:16" x14ac:dyDescent="0.2">
      <c r="B137" s="3" t="s">
        <v>323</v>
      </c>
      <c r="D137" s="190"/>
      <c r="E137" s="190"/>
      <c r="G137" s="281"/>
      <c r="H137" s="269">
        <f>MIN(H136,H136*0.03)</f>
        <v>4.2</v>
      </c>
      <c r="I137" s="193">
        <f ca="1">MIN(I136,I136*0.03)</f>
        <v>4.0739999999999998</v>
      </c>
      <c r="J137" s="193">
        <f t="shared" ref="J137:L137" ca="1" si="63">MIN(J136,J136*0.03)</f>
        <v>3.9517799999999998</v>
      </c>
      <c r="K137" s="193">
        <f t="shared" ca="1" si="63"/>
        <v>3.8332265999999997</v>
      </c>
      <c r="L137" s="193">
        <f t="shared" ca="1" si="63"/>
        <v>3.7182298019999998</v>
      </c>
      <c r="M137" s="190"/>
      <c r="N137" s="331" t="s">
        <v>2414</v>
      </c>
    </row>
    <row r="138" spans="2:16" x14ac:dyDescent="0.2">
      <c r="B138" s="3" t="s">
        <v>322</v>
      </c>
      <c r="D138" s="190"/>
      <c r="E138" s="190"/>
      <c r="G138" s="281"/>
      <c r="H138" s="269">
        <f ca="1">MIN(H136-H137,H105-H132)</f>
        <v>0</v>
      </c>
      <c r="I138" s="193">
        <f ca="1">MIN(I136-I137,I105-I132)</f>
        <v>0</v>
      </c>
      <c r="J138" s="193">
        <f ca="1">MIN(J136-J137,J105-J132)</f>
        <v>0</v>
      </c>
      <c r="K138" s="193">
        <f ca="1">MIN(K136-K137,K105-K132)</f>
        <v>0</v>
      </c>
      <c r="L138" s="193">
        <f ca="1">MIN(L136-L137,L105-L132)</f>
        <v>0</v>
      </c>
      <c r="M138" s="190"/>
      <c r="N138" s="330"/>
    </row>
    <row r="139" spans="2:16" x14ac:dyDescent="0.2">
      <c r="B139" s="168" t="s">
        <v>314</v>
      </c>
      <c r="D139" s="190"/>
      <c r="E139" s="190"/>
      <c r="G139" s="373">
        <f>E27</f>
        <v>140</v>
      </c>
      <c r="H139" s="267">
        <f ca="1">H136-H138-H137</f>
        <v>135.80000000000001</v>
      </c>
      <c r="I139" s="208">
        <f ca="1">I136-I138-I137</f>
        <v>131.726</v>
      </c>
      <c r="J139" s="208">
        <f ca="1">J136-J138-J137</f>
        <v>127.77422</v>
      </c>
      <c r="K139" s="208">
        <f ca="1">K136-K138-K137</f>
        <v>123.9409934</v>
      </c>
      <c r="L139" s="208">
        <f ca="1">L136-L138-L137</f>
        <v>120.222763598</v>
      </c>
      <c r="M139" s="190"/>
      <c r="N139" s="330"/>
      <c r="P139" s="6"/>
    </row>
    <row r="140" spans="2:16" x14ac:dyDescent="0.2">
      <c r="D140" s="190"/>
      <c r="E140" s="190"/>
      <c r="G140" s="281"/>
      <c r="H140" s="262"/>
      <c r="I140" s="190"/>
      <c r="J140" s="190"/>
      <c r="K140" s="190"/>
      <c r="L140" s="190"/>
      <c r="M140" s="190"/>
    </row>
    <row r="141" spans="2:16" x14ac:dyDescent="0.2">
      <c r="B141" s="13" t="str">
        <f>B39</f>
        <v>Subordinate debt - PLN Second Lien</v>
      </c>
      <c r="D141" s="190"/>
      <c r="E141" s="190"/>
      <c r="G141" s="281"/>
      <c r="H141" s="262"/>
      <c r="I141" s="190"/>
      <c r="J141" s="190"/>
      <c r="K141" s="190"/>
      <c r="L141" s="190"/>
      <c r="M141" s="190"/>
    </row>
    <row r="142" spans="2:16" x14ac:dyDescent="0.2">
      <c r="B142" s="3" t="s">
        <v>312</v>
      </c>
      <c r="D142" s="190"/>
      <c r="E142" s="190"/>
      <c r="G142" s="281"/>
      <c r="H142" s="269">
        <f>G145</f>
        <v>220</v>
      </c>
      <c r="I142" s="193">
        <f ca="1">H145</f>
        <v>220</v>
      </c>
      <c r="J142" s="193">
        <f ca="1">I145</f>
        <v>220</v>
      </c>
      <c r="K142" s="193">
        <f ca="1">J145</f>
        <v>220</v>
      </c>
      <c r="L142" s="193">
        <f ca="1">K145</f>
        <v>220</v>
      </c>
      <c r="M142" s="190"/>
      <c r="N142" s="6"/>
    </row>
    <row r="143" spans="2:16" x14ac:dyDescent="0.2">
      <c r="B143" s="3" t="s">
        <v>323</v>
      </c>
      <c r="D143" s="190"/>
      <c r="E143" s="190"/>
      <c r="G143" s="281"/>
      <c r="H143" s="269">
        <v>0</v>
      </c>
      <c r="I143" s="193">
        <v>0</v>
      </c>
      <c r="J143" s="193">
        <v>0</v>
      </c>
      <c r="K143" s="193">
        <v>0</v>
      </c>
      <c r="L143" s="193">
        <v>0</v>
      </c>
      <c r="M143" s="190"/>
      <c r="N143" s="113"/>
    </row>
    <row r="144" spans="2:16" x14ac:dyDescent="0.2">
      <c r="B144" s="3" t="s">
        <v>322</v>
      </c>
      <c r="D144" s="190"/>
      <c r="E144" s="190"/>
      <c r="G144" s="281"/>
      <c r="H144" s="269">
        <f ca="1">MIN(H142-H143,H108-H132-H138)</f>
        <v>0</v>
      </c>
      <c r="I144" s="193">
        <f ca="1">MIN(I142-I143,I108-I132-I138)</f>
        <v>0</v>
      </c>
      <c r="J144" s="193">
        <f ca="1">MIN(J142-J143,J108-J132-J138)</f>
        <v>0</v>
      </c>
      <c r="K144" s="193">
        <f ca="1">MIN(K142-K143,K108-K132-K138)</f>
        <v>0</v>
      </c>
      <c r="L144" s="193">
        <f ca="1">MIN(L142-L143,L108-L132-L138)</f>
        <v>0</v>
      </c>
      <c r="M144" s="190"/>
    </row>
    <row r="145" spans="1:15" x14ac:dyDescent="0.2">
      <c r="B145" s="168" t="s">
        <v>314</v>
      </c>
      <c r="D145" s="190"/>
      <c r="E145" s="190"/>
      <c r="G145" s="373">
        <f>E28</f>
        <v>220</v>
      </c>
      <c r="H145" s="267">
        <f ca="1">H142-H144-H143</f>
        <v>220</v>
      </c>
      <c r="I145" s="208">
        <f ca="1">I142-I144-I143</f>
        <v>220</v>
      </c>
      <c r="J145" s="208">
        <f ca="1">J142-J144-J143</f>
        <v>220</v>
      </c>
      <c r="K145" s="208">
        <f ca="1">K142-K144-K143</f>
        <v>220</v>
      </c>
      <c r="L145" s="208">
        <f ca="1">L142-L144-L143</f>
        <v>220</v>
      </c>
      <c r="M145" s="190"/>
      <c r="N145" s="6"/>
      <c r="O145" s="6"/>
    </row>
    <row r="146" spans="1:15" x14ac:dyDescent="0.2">
      <c r="D146" s="190"/>
      <c r="E146" s="190"/>
      <c r="G146" s="281"/>
      <c r="H146" s="262"/>
      <c r="I146" s="190"/>
      <c r="J146" s="190"/>
      <c r="K146" s="190"/>
      <c r="L146" s="190"/>
      <c r="M146" s="190"/>
    </row>
    <row r="147" spans="1:15" x14ac:dyDescent="0.2">
      <c r="B147" s="169" t="s">
        <v>157</v>
      </c>
      <c r="C147" s="170"/>
      <c r="D147" s="219"/>
      <c r="E147" s="219"/>
      <c r="F147" s="219"/>
      <c r="G147" s="374"/>
      <c r="H147" s="270"/>
      <c r="I147" s="219"/>
      <c r="J147" s="219"/>
      <c r="K147" s="219"/>
      <c r="L147" s="220"/>
      <c r="M147" s="190"/>
    </row>
    <row r="148" spans="1:15" x14ac:dyDescent="0.2">
      <c r="B148" s="171" t="s">
        <v>312</v>
      </c>
      <c r="C148" s="18"/>
      <c r="D148" s="221"/>
      <c r="E148" s="221"/>
      <c r="F148" s="221"/>
      <c r="G148" s="375"/>
      <c r="H148" s="271">
        <f>H131+H136+H142</f>
        <v>900</v>
      </c>
      <c r="I148" s="222">
        <f ca="1">I131+I136+I142</f>
        <v>868.53761801206178</v>
      </c>
      <c r="J148" s="222">
        <f ca="1">J131+J136+J142</f>
        <v>810.30541939389445</v>
      </c>
      <c r="K148" s="222">
        <f ca="1">K131+K136+K142</f>
        <v>729.5861374069018</v>
      </c>
      <c r="L148" s="223">
        <f ca="1">L131+L136+L142</f>
        <v>629.02576923097615</v>
      </c>
      <c r="M148" s="190"/>
    </row>
    <row r="149" spans="1:15" x14ac:dyDescent="0.2">
      <c r="B149" s="171" t="s">
        <v>322</v>
      </c>
      <c r="C149" s="18"/>
      <c r="D149" s="221"/>
      <c r="E149" s="221"/>
      <c r="F149" s="221"/>
      <c r="G149" s="375"/>
      <c r="H149" s="271">
        <f ca="1">H132+H138+H144+H143+H137</f>
        <v>31.462381987938166</v>
      </c>
      <c r="I149" s="222">
        <f ca="1">I132+I138+I144+I143+I137</f>
        <v>58.23219861816743</v>
      </c>
      <c r="J149" s="222">
        <f ca="1">J132+J138+J144+J143+J137</f>
        <v>80.719281986992613</v>
      </c>
      <c r="K149" s="222">
        <f ca="1">K132+K138+K144+K143+K137</f>
        <v>100.56036817592562</v>
      </c>
      <c r="L149" s="223">
        <f ca="1">L132+L138+L144+L143+L137</f>
        <v>123.38596536566398</v>
      </c>
      <c r="M149" s="190"/>
    </row>
    <row r="150" spans="1:15" x14ac:dyDescent="0.2">
      <c r="B150" s="172" t="s">
        <v>314</v>
      </c>
      <c r="C150" s="173"/>
      <c r="D150" s="224"/>
      <c r="E150" s="224"/>
      <c r="F150" s="224"/>
      <c r="G150" s="376">
        <f t="shared" ref="G150:L150" si="64">G133+G139+G145</f>
        <v>900</v>
      </c>
      <c r="H150" s="272">
        <f t="shared" ca="1" si="64"/>
        <v>868.53761801206178</v>
      </c>
      <c r="I150" s="225">
        <f t="shared" ca="1" si="64"/>
        <v>810.30541939389445</v>
      </c>
      <c r="J150" s="225">
        <f t="shared" ca="1" si="64"/>
        <v>729.5861374069018</v>
      </c>
      <c r="K150" s="225">
        <f t="shared" ca="1" si="64"/>
        <v>629.02576923097615</v>
      </c>
      <c r="L150" s="226">
        <f t="shared" ca="1" si="64"/>
        <v>505.63980386531216</v>
      </c>
      <c r="M150" s="190"/>
    </row>
    <row r="151" spans="1:15" x14ac:dyDescent="0.2">
      <c r="B151" s="324" t="s">
        <v>324</v>
      </c>
      <c r="C151" s="174"/>
      <c r="D151" s="227"/>
      <c r="E151" s="227"/>
      <c r="G151" s="227"/>
      <c r="H151" s="334">
        <f ca="1">H148-H149-H150</f>
        <v>0</v>
      </c>
      <c r="I151" s="335">
        <f ca="1">I148-I149-I150</f>
        <v>0</v>
      </c>
      <c r="J151" s="335">
        <f t="shared" ref="J151:L151" ca="1" si="65">J148-J149-J150</f>
        <v>0</v>
      </c>
      <c r="K151" s="335">
        <f t="shared" ca="1" si="65"/>
        <v>0</v>
      </c>
      <c r="L151" s="335">
        <f t="shared" ca="1" si="65"/>
        <v>0</v>
      </c>
      <c r="M151" s="190"/>
    </row>
    <row r="152" spans="1:15" x14ac:dyDescent="0.2">
      <c r="B152" s="324"/>
      <c r="C152" s="174"/>
      <c r="D152" s="227"/>
      <c r="E152" s="227"/>
      <c r="G152" s="227"/>
      <c r="H152" s="334"/>
      <c r="I152" s="335"/>
      <c r="J152" s="335"/>
      <c r="K152" s="335"/>
      <c r="L152" s="335"/>
      <c r="M152" s="190"/>
    </row>
    <row r="153" spans="1:15" x14ac:dyDescent="0.2">
      <c r="B153" s="324"/>
      <c r="C153" s="174"/>
      <c r="D153" s="227"/>
      <c r="E153" s="227"/>
      <c r="G153" s="487"/>
      <c r="H153" s="488"/>
      <c r="I153" s="489"/>
      <c r="J153" s="489"/>
      <c r="K153" s="489"/>
      <c r="L153" s="489"/>
      <c r="M153" s="190"/>
    </row>
    <row r="154" spans="1:15" x14ac:dyDescent="0.2">
      <c r="H154" s="256"/>
      <c r="I154" s="391"/>
      <c r="J154" s="391"/>
      <c r="K154" s="391"/>
    </row>
    <row r="155" spans="1:15" x14ac:dyDescent="0.2">
      <c r="A155" s="1" t="s">
        <v>225</v>
      </c>
      <c r="B155" s="20" t="s">
        <v>325</v>
      </c>
      <c r="C155" s="20"/>
      <c r="D155" s="180">
        <v>2021</v>
      </c>
      <c r="E155" s="180">
        <v>2022</v>
      </c>
      <c r="F155" s="180">
        <v>2023</v>
      </c>
      <c r="G155" s="179" t="s">
        <v>311</v>
      </c>
      <c r="H155" s="255" t="s">
        <v>179</v>
      </c>
      <c r="I155" s="179" t="s">
        <v>196</v>
      </c>
      <c r="J155" s="179" t="s">
        <v>197</v>
      </c>
      <c r="K155" s="179" t="s">
        <v>198</v>
      </c>
      <c r="L155" s="179" t="s">
        <v>199</v>
      </c>
    </row>
    <row r="156" spans="1:15" x14ac:dyDescent="0.2">
      <c r="B156" t="s">
        <v>252</v>
      </c>
      <c r="D156" s="1">
        <f>'Financials Data'!F21</f>
        <v>0.08</v>
      </c>
      <c r="E156" s="1">
        <f>'Financials Data'!G21</f>
        <v>2.34</v>
      </c>
      <c r="F156" s="1">
        <f>'Financials Data'!H21</f>
        <v>3.3</v>
      </c>
      <c r="G156" s="1">
        <f>'Financials Data'!I21</f>
        <v>1.1299999999999999</v>
      </c>
      <c r="H156" s="261">
        <f>H157*H114</f>
        <v>0.54869999999999997</v>
      </c>
      <c r="I156" s="245">
        <f>I157*I114</f>
        <v>0.54869999999999997</v>
      </c>
      <c r="J156" s="245">
        <f>J157*J114</f>
        <v>0.54869999999999997</v>
      </c>
      <c r="K156" s="245">
        <f>K157*K114</f>
        <v>0.54869999999999997</v>
      </c>
      <c r="L156" s="245">
        <f>L157*L114</f>
        <v>0.54869999999999997</v>
      </c>
    </row>
    <row r="157" spans="1:15" x14ac:dyDescent="0.2">
      <c r="B157" s="12" t="s">
        <v>326</v>
      </c>
      <c r="D157" s="217"/>
      <c r="E157" s="217"/>
      <c r="F157" s="217"/>
      <c r="G157" s="217">
        <f>G156/G116</f>
        <v>2.0594131583743392E-2</v>
      </c>
      <c r="H157" s="409">
        <v>0.01</v>
      </c>
      <c r="I157" s="410">
        <v>0.01</v>
      </c>
      <c r="J157" s="410">
        <v>0.01</v>
      </c>
      <c r="K157" s="410">
        <v>0.01</v>
      </c>
      <c r="L157" s="410">
        <f t="shared" ref="L157" si="66">K157</f>
        <v>0.01</v>
      </c>
    </row>
    <row r="158" spans="1:15" x14ac:dyDescent="0.2">
      <c r="G158" s="190"/>
      <c r="H158" s="280"/>
      <c r="I158" s="281"/>
      <c r="J158" s="281"/>
      <c r="K158" s="281"/>
      <c r="L158" s="281"/>
    </row>
    <row r="159" spans="1:15" x14ac:dyDescent="0.2">
      <c r="B159" t="s">
        <v>266</v>
      </c>
      <c r="G159" s="190"/>
      <c r="H159" s="280">
        <f>H160*H127</f>
        <v>0</v>
      </c>
      <c r="I159" s="281">
        <f>I127</f>
        <v>0</v>
      </c>
      <c r="J159" s="281">
        <f>J127</f>
        <v>0</v>
      </c>
      <c r="K159" s="281">
        <f>K127</f>
        <v>0</v>
      </c>
      <c r="L159" s="281">
        <f t="shared" ref="L159" si="67">L127</f>
        <v>0</v>
      </c>
    </row>
    <row r="160" spans="1:15" x14ac:dyDescent="0.2">
      <c r="B160" s="12" t="s">
        <v>327</v>
      </c>
      <c r="G160" s="190"/>
      <c r="H160" s="408">
        <f>G25</f>
        <v>8.7999999999999995E-2</v>
      </c>
      <c r="I160" s="410">
        <f>$G$25</f>
        <v>8.7999999999999995E-2</v>
      </c>
      <c r="J160" s="410">
        <f t="shared" ref="J160:L160" si="68">$G$25</f>
        <v>8.7999999999999995E-2</v>
      </c>
      <c r="K160" s="410">
        <f t="shared" si="68"/>
        <v>8.7999999999999995E-2</v>
      </c>
      <c r="L160" s="410">
        <f t="shared" si="68"/>
        <v>8.7999999999999995E-2</v>
      </c>
    </row>
    <row r="161" spans="1:16" x14ac:dyDescent="0.2">
      <c r="G161" s="190"/>
      <c r="H161" s="280"/>
      <c r="I161" s="281"/>
      <c r="J161" s="281"/>
      <c r="K161" s="281"/>
      <c r="L161" s="281"/>
    </row>
    <row r="162" spans="1:16" x14ac:dyDescent="0.2">
      <c r="B162" t="str">
        <f>B26</f>
        <v>Senior debt - PLN Term loan A</v>
      </c>
      <c r="G162" s="190"/>
      <c r="H162" s="266">
        <f ca="1">H163*((H131+H133)/2)</f>
        <v>42.162141601383077</v>
      </c>
      <c r="I162" s="191">
        <f t="shared" ref="I162:L162" ca="1" si="69">I163*((I131+I133)/2)</f>
        <v>38.901247348108548</v>
      </c>
      <c r="J162" s="191">
        <f t="shared" ca="1" si="69"/>
        <v>33.657673038871884</v>
      </c>
      <c r="K162" s="191">
        <f t="shared" ca="1" si="69"/>
        <v>26.709212564177015</v>
      </c>
      <c r="L162" s="191">
        <f t="shared" ca="1" si="69"/>
        <v>18.04259773473645</v>
      </c>
      <c r="N162" s="520" t="s">
        <v>2433</v>
      </c>
      <c r="O162" s="521"/>
      <c r="P162" s="521"/>
    </row>
    <row r="163" spans="1:16" x14ac:dyDescent="0.2">
      <c r="B163" s="12" t="s">
        <v>327</v>
      </c>
      <c r="G163" s="218"/>
      <c r="H163" s="409">
        <f>$H$26</f>
        <v>8.0100000000000005E-2</v>
      </c>
      <c r="I163" s="410">
        <f>$H$26</f>
        <v>8.0100000000000005E-2</v>
      </c>
      <c r="J163" s="410">
        <f t="shared" ref="J163:L163" si="70">$H$26</f>
        <v>8.0100000000000005E-2</v>
      </c>
      <c r="K163" s="410">
        <f t="shared" si="70"/>
        <v>8.0100000000000005E-2</v>
      </c>
      <c r="L163" s="410">
        <f t="shared" si="70"/>
        <v>8.0100000000000005E-2</v>
      </c>
      <c r="N163" s="520"/>
      <c r="O163" s="521"/>
      <c r="P163" s="521"/>
    </row>
    <row r="164" spans="1:16" ht="15" customHeight="1" x14ac:dyDescent="0.2">
      <c r="G164" s="190"/>
      <c r="H164" s="280"/>
      <c r="I164" s="281"/>
      <c r="J164" s="281"/>
      <c r="K164" s="281"/>
      <c r="L164" s="281"/>
      <c r="N164" s="517" t="s">
        <v>328</v>
      </c>
      <c r="O164" s="518"/>
      <c r="P164" s="518"/>
    </row>
    <row r="165" spans="1:16" x14ac:dyDescent="0.2">
      <c r="B165" t="str">
        <f>B27</f>
        <v>Senior debt - PLN Term loan B</v>
      </c>
      <c r="G165" s="190"/>
      <c r="H165" s="266">
        <f ca="1">H166*((H136+H139)/2)</f>
        <v>10.949260000000001</v>
      </c>
      <c r="I165" s="191">
        <f t="shared" ref="I165:L165" ca="1" si="71">I166*((I136+I139)/2)</f>
        <v>10.620782200000001</v>
      </c>
      <c r="J165" s="191">
        <f t="shared" ca="1" si="71"/>
        <v>10.302158734000001</v>
      </c>
      <c r="K165" s="191">
        <f t="shared" ca="1" si="71"/>
        <v>9.9930939719799987</v>
      </c>
      <c r="L165" s="191">
        <f t="shared" ca="1" si="71"/>
        <v>9.6933011528205988</v>
      </c>
      <c r="N165" s="517"/>
      <c r="O165" s="518"/>
      <c r="P165" s="518"/>
    </row>
    <row r="166" spans="1:16" x14ac:dyDescent="0.2">
      <c r="B166" s="12" t="s">
        <v>327</v>
      </c>
      <c r="G166" s="218"/>
      <c r="H166" s="409">
        <f t="shared" ref="H166:L166" si="72">$G$27</f>
        <v>7.9399999999999998E-2</v>
      </c>
      <c r="I166" s="410">
        <f t="shared" si="72"/>
        <v>7.9399999999999998E-2</v>
      </c>
      <c r="J166" s="410">
        <f t="shared" si="72"/>
        <v>7.9399999999999998E-2</v>
      </c>
      <c r="K166" s="410">
        <f t="shared" si="72"/>
        <v>7.9399999999999998E-2</v>
      </c>
      <c r="L166" s="410">
        <f t="shared" si="72"/>
        <v>7.9399999999999998E-2</v>
      </c>
    </row>
    <row r="167" spans="1:16" x14ac:dyDescent="0.2">
      <c r="G167" s="190"/>
      <c r="H167" s="280"/>
      <c r="I167" s="281"/>
      <c r="J167" s="281"/>
      <c r="K167" s="281"/>
      <c r="L167" s="281"/>
    </row>
    <row r="168" spans="1:16" x14ac:dyDescent="0.2">
      <c r="B168" t="str">
        <f>B28</f>
        <v>Subordinate debt - PLN Second Lien</v>
      </c>
      <c r="G168" s="190"/>
      <c r="H168" s="266">
        <f>H169*H142</f>
        <v>22.681999999999999</v>
      </c>
      <c r="I168" s="191">
        <f ca="1">I169*I142</f>
        <v>22.681999999999999</v>
      </c>
      <c r="J168" s="191">
        <f ca="1">J169*J142</f>
        <v>22.681999999999999</v>
      </c>
      <c r="K168" s="191">
        <f ca="1">K169*K142</f>
        <v>22.681999999999999</v>
      </c>
      <c r="L168" s="191">
        <f ca="1">L169*L142</f>
        <v>22.681999999999999</v>
      </c>
    </row>
    <row r="169" spans="1:16" x14ac:dyDescent="0.2">
      <c r="B169" s="12" t="s">
        <v>327</v>
      </c>
      <c r="G169" s="218"/>
      <c r="H169" s="409">
        <f>$G$28</f>
        <v>0.1031</v>
      </c>
      <c r="I169" s="410">
        <f t="shared" ref="I169:L169" si="73">$G$28</f>
        <v>0.1031</v>
      </c>
      <c r="J169" s="410">
        <f t="shared" si="73"/>
        <v>0.1031</v>
      </c>
      <c r="K169" s="410">
        <f t="shared" si="73"/>
        <v>0.1031</v>
      </c>
      <c r="L169" s="410">
        <f t="shared" si="73"/>
        <v>0.1031</v>
      </c>
    </row>
    <row r="170" spans="1:16" x14ac:dyDescent="0.2">
      <c r="G170" s="190"/>
      <c r="H170" s="280"/>
      <c r="I170" s="281"/>
      <c r="J170" s="281"/>
      <c r="K170" s="281"/>
      <c r="L170" s="281"/>
    </row>
    <row r="171" spans="1:16" x14ac:dyDescent="0.2">
      <c r="B171" t="s">
        <v>329</v>
      </c>
      <c r="G171" s="190"/>
      <c r="H171" s="266">
        <f ca="1">H162+H165+H168</f>
        <v>75.793401601383081</v>
      </c>
      <c r="I171" s="191">
        <f ca="1">I162+I165+I168</f>
        <v>72.204029548108551</v>
      </c>
      <c r="J171" s="191">
        <f ca="1">J162+J165+J168</f>
        <v>66.641831772871882</v>
      </c>
      <c r="K171" s="191">
        <f ca="1">K162+K165+K168</f>
        <v>59.384306536157013</v>
      </c>
      <c r="L171" s="191">
        <f ca="1">L162+L165+L168</f>
        <v>50.417898887557044</v>
      </c>
    </row>
    <row r="172" spans="1:16" x14ac:dyDescent="0.2">
      <c r="B172" s="12" t="s">
        <v>330</v>
      </c>
      <c r="G172" s="190"/>
      <c r="H172" s="411">
        <f ca="1">H171/AVERAGE(H150,H148)</f>
        <v>8.571307822853011E-2</v>
      </c>
      <c r="I172" s="412">
        <f ca="1">I171/AVERAGE(I150,I148)</f>
        <v>8.6016414803939886E-2</v>
      </c>
      <c r="J172" s="412">
        <f ca="1">J171/AVERAGE(J150,J148)</f>
        <v>8.6553928396521262E-2</v>
      </c>
      <c r="K172" s="412">
        <f ca="1">K171/AVERAGE(K150,K148)</f>
        <v>8.7419087446559837E-2</v>
      </c>
      <c r="L172" s="412">
        <f ca="1">L171/AVERAGE(L150,L148)</f>
        <v>8.8868297554804812E-2</v>
      </c>
    </row>
    <row r="173" spans="1:16" x14ac:dyDescent="0.2">
      <c r="H173" s="256"/>
    </row>
    <row r="174" spans="1:16" x14ac:dyDescent="0.2">
      <c r="A174" s="1" t="s">
        <v>225</v>
      </c>
      <c r="B174" s="20" t="s">
        <v>226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30"/>
    </row>
    <row r="175" spans="1:16" ht="5" customHeight="1" x14ac:dyDescent="0.2"/>
    <row r="176" spans="1:16" x14ac:dyDescent="0.2">
      <c r="B176" t="s">
        <v>331</v>
      </c>
      <c r="H176" s="392"/>
      <c r="I176" s="392"/>
      <c r="J176" s="392"/>
      <c r="K176" s="392"/>
      <c r="L176" s="9">
        <f>L57</f>
        <v>246.90612510485605</v>
      </c>
    </row>
    <row r="177" spans="1:21" x14ac:dyDescent="0.2">
      <c r="B177" s="154" t="s">
        <v>256</v>
      </c>
      <c r="C177" s="154"/>
      <c r="D177" s="154"/>
      <c r="E177" s="154"/>
      <c r="F177" s="154"/>
      <c r="G177" s="154"/>
      <c r="H177" s="393"/>
      <c r="I177" s="393"/>
      <c r="J177" s="393"/>
      <c r="K177" s="393"/>
      <c r="L177" s="416">
        <f>E20</f>
        <v>11.961383355486403</v>
      </c>
      <c r="N177" s="23"/>
    </row>
    <row r="178" spans="1:21" x14ac:dyDescent="0.2">
      <c r="B178" s="2" t="s">
        <v>254</v>
      </c>
      <c r="C178" s="2"/>
      <c r="D178" s="2"/>
      <c r="E178" s="2"/>
      <c r="F178" s="2"/>
      <c r="G178" s="2"/>
      <c r="H178" s="394"/>
      <c r="I178" s="394"/>
      <c r="J178" s="394"/>
      <c r="K178" s="394"/>
      <c r="L178" s="175">
        <f>L176*L177</f>
        <v>2953.3388151968684</v>
      </c>
    </row>
    <row r="179" spans="1:21" x14ac:dyDescent="0.2">
      <c r="B179" t="s">
        <v>144</v>
      </c>
      <c r="H179" s="392"/>
      <c r="I179" s="392"/>
      <c r="J179" s="392"/>
      <c r="K179" s="392"/>
      <c r="L179" s="9">
        <f ca="1">L150-L116</f>
        <v>450.76980386531216</v>
      </c>
      <c r="N179" s="4"/>
    </row>
    <row r="180" spans="1:21" x14ac:dyDescent="0.2">
      <c r="B180" t="s">
        <v>332</v>
      </c>
      <c r="H180" s="392"/>
      <c r="I180" s="392"/>
      <c r="J180" s="392"/>
      <c r="K180" s="392"/>
      <c r="L180" s="9">
        <f ca="1">(L178-L179)*0.045</f>
        <v>112.61560550992003</v>
      </c>
    </row>
    <row r="181" spans="1:21" x14ac:dyDescent="0.2">
      <c r="B181" s="176" t="s">
        <v>333</v>
      </c>
      <c r="C181" s="177"/>
      <c r="D181" s="177"/>
      <c r="E181" s="177"/>
      <c r="F181" s="177"/>
      <c r="G181" s="177"/>
      <c r="H181" s="395"/>
      <c r="I181" s="395"/>
      <c r="J181" s="395"/>
      <c r="K181" s="395"/>
      <c r="L181" s="417">
        <f ca="1">L178-L179-L180</f>
        <v>2389.9534058216364</v>
      </c>
      <c r="N181" s="401"/>
    </row>
    <row r="182" spans="1:21" x14ac:dyDescent="0.2">
      <c r="H182" s="1"/>
      <c r="I182" s="1"/>
      <c r="J182" s="1"/>
      <c r="K182" s="1"/>
      <c r="L182" s="418"/>
    </row>
    <row r="183" spans="1:21" x14ac:dyDescent="0.2">
      <c r="B183" t="s">
        <v>334</v>
      </c>
      <c r="H183" s="392"/>
      <c r="I183" s="392"/>
      <c r="J183" s="392"/>
      <c r="K183" s="392"/>
      <c r="L183" s="9">
        <f>$D$41</f>
        <v>636.90651469318743</v>
      </c>
    </row>
    <row r="184" spans="1:21" ht="16" customHeight="1" x14ac:dyDescent="0.2">
      <c r="H184" s="396"/>
      <c r="I184" s="396"/>
      <c r="J184" s="396"/>
      <c r="K184" s="396"/>
      <c r="L184" s="56"/>
      <c r="O184" s="336" t="s">
        <v>335</v>
      </c>
    </row>
    <row r="185" spans="1:21" ht="18" customHeight="1" x14ac:dyDescent="0.2">
      <c r="B185" s="247" t="s">
        <v>337</v>
      </c>
      <c r="C185" s="248"/>
      <c r="D185" s="248"/>
      <c r="E185" s="248"/>
      <c r="F185" s="248"/>
      <c r="G185" s="248"/>
      <c r="H185" s="397"/>
      <c r="I185" s="397"/>
      <c r="J185" s="397"/>
      <c r="K185" s="397"/>
      <c r="L185" s="351">
        <f ca="1">L181/L183</f>
        <v>3.7524398804005514</v>
      </c>
      <c r="O185" s="519" t="s">
        <v>336</v>
      </c>
      <c r="P185" s="519"/>
      <c r="Q185" s="519"/>
      <c r="R185" s="519"/>
      <c r="S185" s="519"/>
      <c r="T185" s="519"/>
      <c r="U185" s="519"/>
    </row>
    <row r="186" spans="1:21" x14ac:dyDescent="0.2">
      <c r="A186" s="1" t="s">
        <v>225</v>
      </c>
      <c r="B186" s="251" t="s">
        <v>336</v>
      </c>
      <c r="C186" s="22"/>
      <c r="D186" s="22"/>
      <c r="E186" s="22"/>
      <c r="F186" s="22"/>
      <c r="G186" s="22"/>
      <c r="H186" s="398"/>
      <c r="I186" s="398"/>
      <c r="J186" s="398"/>
      <c r="K186" s="398"/>
      <c r="L186" s="419">
        <f ca="1">L185^(1/5)-1</f>
        <v>0.30275499974232067</v>
      </c>
      <c r="O186" s="522" t="s">
        <v>338</v>
      </c>
      <c r="P186" s="525" t="s">
        <v>340</v>
      </c>
      <c r="Q186" s="525"/>
      <c r="R186" s="525"/>
      <c r="S186" s="525"/>
      <c r="T186" s="525"/>
      <c r="U186" s="526"/>
    </row>
    <row r="187" spans="1:21" x14ac:dyDescent="0.2">
      <c r="B187" s="249" t="s">
        <v>339</v>
      </c>
      <c r="C187" s="250"/>
      <c r="D187" s="250"/>
      <c r="E187" s="250"/>
      <c r="F187" s="250"/>
      <c r="G187" s="250"/>
      <c r="H187" s="400">
        <f ca="1">H57/H171</f>
        <v>2.0663631349877796</v>
      </c>
      <c r="I187" s="400">
        <f ca="1">I57/I171</f>
        <v>2.5121553607892109</v>
      </c>
      <c r="J187" s="400">
        <f ca="1">J57/J171</f>
        <v>3.0370615002534498</v>
      </c>
      <c r="K187" s="400">
        <f ca="1">K57/K171</f>
        <v>3.7626852975443863</v>
      </c>
      <c r="L187" s="352">
        <f ca="1">L57/L171</f>
        <v>4.8971918813100634</v>
      </c>
      <c r="O187" s="523"/>
      <c r="P187" s="346">
        <f ca="1">L186</f>
        <v>0.30275499974232067</v>
      </c>
      <c r="Q187" s="491">
        <f>R187-0.03</f>
        <v>0.24434782608695652</v>
      </c>
      <c r="R187" s="491">
        <f>S187-0.03</f>
        <v>0.27434782608695651</v>
      </c>
      <c r="S187" s="490">
        <v>0.30434782608695654</v>
      </c>
      <c r="T187" s="492">
        <f>S187+0.03</f>
        <v>0.33434782608695657</v>
      </c>
      <c r="U187" s="493">
        <f>T187+0.03</f>
        <v>0.36434782608695659</v>
      </c>
    </row>
    <row r="188" spans="1:21" x14ac:dyDescent="0.2">
      <c r="O188" s="523"/>
      <c r="P188" s="337">
        <f>P189-1</f>
        <v>9.9730391262982643</v>
      </c>
      <c r="Q188" s="338">
        <f t="dataTable" ref="Q188:U192" dt2D="1" dtr="1" r1="L11" r2="E20" ca="1"/>
        <v>0.2744791930328363</v>
      </c>
      <c r="R188" s="344">
        <v>0.26002070319135373</v>
      </c>
      <c r="S188" s="344">
        <v>0.24649372126774605</v>
      </c>
      <c r="T188" s="344">
        <v>0.23379381026088297</v>
      </c>
      <c r="U188" s="339">
        <v>0.22183274121049412</v>
      </c>
    </row>
    <row r="189" spans="1:21" x14ac:dyDescent="0.2">
      <c r="I189" s="377"/>
      <c r="O189" s="523"/>
      <c r="P189" s="337">
        <f>P190-1</f>
        <v>10.973039126298264</v>
      </c>
      <c r="Q189" s="340">
        <v>0.30433309931291208</v>
      </c>
      <c r="R189" s="347">
        <v>0.28953592806883099</v>
      </c>
      <c r="S189" s="347">
        <v>0.27569208475367812</v>
      </c>
      <c r="T189" s="347">
        <v>0.26269468599257251</v>
      </c>
      <c r="U189" s="341">
        <v>0.25045343611507254</v>
      </c>
    </row>
    <row r="190" spans="1:21" x14ac:dyDescent="0.2">
      <c r="G190" s="6"/>
      <c r="N190" s="118"/>
      <c r="O190" s="523"/>
      <c r="P190" s="337">
        <v>11.973039126298264</v>
      </c>
      <c r="Q190" s="340">
        <v>0.33168028041376885</v>
      </c>
      <c r="R190" s="347">
        <v>0.31657286562683407</v>
      </c>
      <c r="S190" s="348">
        <v>0.30243876663200031</v>
      </c>
      <c r="T190" s="347">
        <v>0.28916885909384438</v>
      </c>
      <c r="U190" s="341">
        <v>0.27667095416597642</v>
      </c>
    </row>
    <row r="191" spans="1:21" x14ac:dyDescent="0.2">
      <c r="G191" s="6"/>
      <c r="N191" s="118"/>
      <c r="O191" s="523"/>
      <c r="P191" s="337">
        <f>P190+1</f>
        <v>12.973039126298264</v>
      </c>
      <c r="Q191" s="340">
        <v>0.35694971958594857</v>
      </c>
      <c r="R191" s="347">
        <v>0.34155563246134957</v>
      </c>
      <c r="S191" s="349">
        <v>0.32715333038499805</v>
      </c>
      <c r="T191" s="347">
        <v>0.31363161832117048</v>
      </c>
      <c r="U191" s="341">
        <v>0.30089655808432991</v>
      </c>
    </row>
    <row r="192" spans="1:21" x14ac:dyDescent="0.2">
      <c r="G192" s="6"/>
      <c r="H192" s="413"/>
      <c r="I192" s="413"/>
      <c r="J192" s="413"/>
      <c r="K192" s="413"/>
      <c r="L192" s="413"/>
      <c r="M192" s="413"/>
      <c r="N192" s="118"/>
      <c r="O192" s="524"/>
      <c r="P192" s="350">
        <f>P191+1</f>
        <v>13.973039126298264</v>
      </c>
      <c r="Q192" s="342">
        <v>0.38046603815957103</v>
      </c>
      <c r="R192" s="345">
        <v>0.36480516719490264</v>
      </c>
      <c r="S192" s="345">
        <v>0.35015326919105849</v>
      </c>
      <c r="T192" s="345">
        <v>0.33639722207121214</v>
      </c>
      <c r="U192" s="343">
        <v>0.32344145967476945</v>
      </c>
    </row>
    <row r="193" spans="6:14" x14ac:dyDescent="0.2">
      <c r="G193" s="6"/>
      <c r="N193" s="118"/>
    </row>
    <row r="194" spans="6:14" x14ac:dyDescent="0.2">
      <c r="G194" s="494"/>
      <c r="H194" s="495"/>
      <c r="I194" s="495"/>
      <c r="J194" s="495"/>
      <c r="K194" s="495"/>
      <c r="L194" s="495"/>
      <c r="N194" s="118"/>
    </row>
    <row r="195" spans="6:14" x14ac:dyDescent="0.2">
      <c r="G195" s="494"/>
      <c r="H195" s="496"/>
      <c r="I195" s="496"/>
      <c r="J195" s="496"/>
      <c r="K195" s="496"/>
      <c r="L195" s="496"/>
    </row>
    <row r="198" spans="6:14" x14ac:dyDescent="0.2">
      <c r="K198" s="6"/>
    </row>
    <row r="200" spans="6:14" x14ac:dyDescent="0.2">
      <c r="F200" s="485"/>
      <c r="G200" s="485"/>
      <c r="H200" s="485"/>
      <c r="I200" s="485"/>
      <c r="J200" s="485"/>
      <c r="K200" s="485"/>
      <c r="L200" s="485"/>
    </row>
  </sheetData>
  <mergeCells count="8">
    <mergeCell ref="O186:O192"/>
    <mergeCell ref="P186:U186"/>
    <mergeCell ref="N110:N112"/>
    <mergeCell ref="N77:O78"/>
    <mergeCell ref="N49:N52"/>
    <mergeCell ref="N164:P165"/>
    <mergeCell ref="O185:U185"/>
    <mergeCell ref="N162:P163"/>
  </mergeCells>
  <dataValidations count="1">
    <dataValidation type="list" allowBlank="1" showInputMessage="1" showErrorMessage="1" sqref="Q5" xr:uid="{8952EA66-9DB4-9B47-8888-C4881649E5E9}">
      <formula1>$O$14:$O$16</formula1>
    </dataValidation>
  </dataValidations>
  <pageMargins left="0.7" right="0.7" top="0.75" bottom="0.75" header="0.3" footer="0.3"/>
  <ignoredErrors>
    <ignoredError sqref="G30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CAA0-C926-47D2-A975-8BC8675557C1}">
  <dimension ref="B2:AL88"/>
  <sheetViews>
    <sheetView zoomScale="131" zoomScaleNormal="119" workbookViewId="0">
      <selection activeCell="AL37" sqref="AL37"/>
    </sheetView>
  </sheetViews>
  <sheetFormatPr baseColWidth="10" defaultColWidth="8.83203125" defaultRowHeight="15" x14ac:dyDescent="0.2"/>
  <cols>
    <col min="2" max="2" width="24" customWidth="1"/>
    <col min="3" max="3" width="10.6640625" bestFit="1" customWidth="1"/>
    <col min="11" max="11" width="16.6640625" customWidth="1"/>
    <col min="12" max="12" width="15" customWidth="1"/>
    <col min="19" max="19" width="24" customWidth="1"/>
    <col min="27" max="27" width="35.83203125" customWidth="1"/>
    <col min="28" max="31" width="12.33203125" bestFit="1" customWidth="1"/>
    <col min="33" max="33" width="9.5" customWidth="1"/>
    <col min="34" max="38" width="8.83203125" style="23"/>
  </cols>
  <sheetData>
    <row r="2" spans="2:36" x14ac:dyDescent="0.2">
      <c r="B2" s="511"/>
      <c r="C2" s="511"/>
      <c r="D2" s="511"/>
      <c r="E2" s="511"/>
      <c r="F2" s="511"/>
      <c r="G2" s="511"/>
      <c r="H2" s="511"/>
      <c r="I2" s="511"/>
      <c r="K2" s="511"/>
      <c r="L2" s="511"/>
      <c r="M2" s="511"/>
      <c r="N2" s="511"/>
      <c r="O2" s="511"/>
      <c r="P2" s="511"/>
      <c r="Q2" s="511"/>
      <c r="S2" s="511"/>
      <c r="T2" s="511"/>
      <c r="U2" s="511"/>
      <c r="V2" s="511"/>
      <c r="W2" s="511"/>
      <c r="X2" s="511"/>
      <c r="Y2" s="511"/>
    </row>
    <row r="3" spans="2:36" x14ac:dyDescent="0.2">
      <c r="B3" s="123" t="s">
        <v>0</v>
      </c>
      <c r="C3" s="124">
        <v>43465</v>
      </c>
      <c r="D3" s="124">
        <v>43830</v>
      </c>
      <c r="E3" s="124">
        <v>44196</v>
      </c>
      <c r="F3" s="124">
        <v>44561</v>
      </c>
      <c r="G3" s="124">
        <v>44926</v>
      </c>
      <c r="H3" s="124">
        <v>45291</v>
      </c>
      <c r="I3" s="125" t="s">
        <v>1</v>
      </c>
      <c r="K3" s="145" t="s">
        <v>2</v>
      </c>
      <c r="L3" s="146" t="s">
        <v>3</v>
      </c>
      <c r="M3" s="146" t="s">
        <v>4</v>
      </c>
      <c r="N3" s="146" t="s">
        <v>5</v>
      </c>
      <c r="O3" s="146" t="s">
        <v>6</v>
      </c>
      <c r="P3" s="146" t="s">
        <v>7</v>
      </c>
      <c r="Q3" s="147" t="s">
        <v>8</v>
      </c>
      <c r="S3" s="123" t="s">
        <v>9</v>
      </c>
      <c r="T3" s="124">
        <v>43465</v>
      </c>
      <c r="U3" s="124">
        <v>43830</v>
      </c>
      <c r="V3" s="124">
        <v>44196</v>
      </c>
      <c r="W3" s="124">
        <v>44561</v>
      </c>
      <c r="X3" s="124">
        <v>44926</v>
      </c>
      <c r="Y3" s="124">
        <v>45291</v>
      </c>
      <c r="AA3" s="232" t="s">
        <v>10</v>
      </c>
      <c r="AB3" s="233">
        <v>44196</v>
      </c>
      <c r="AC3" s="233">
        <v>44561</v>
      </c>
      <c r="AD3" s="233">
        <v>44926</v>
      </c>
      <c r="AE3" s="233">
        <v>45291</v>
      </c>
      <c r="AF3" s="232" t="s">
        <v>1</v>
      </c>
    </row>
    <row r="4" spans="2:36" x14ac:dyDescent="0.2">
      <c r="B4" s="122"/>
      <c r="C4" s="122"/>
      <c r="D4" s="122"/>
      <c r="E4" s="122"/>
      <c r="F4" s="122"/>
      <c r="G4" s="122"/>
      <c r="H4" s="122"/>
      <c r="I4" s="122"/>
      <c r="K4" s="122"/>
      <c r="L4" s="122"/>
      <c r="M4" s="122"/>
      <c r="N4" s="122"/>
      <c r="O4" s="122"/>
      <c r="P4" s="122"/>
      <c r="Q4" s="122"/>
      <c r="S4" s="122"/>
      <c r="T4" s="122"/>
      <c r="U4" s="122"/>
      <c r="V4" s="122"/>
      <c r="W4" s="122"/>
      <c r="X4" s="122"/>
      <c r="Y4" s="122"/>
      <c r="AA4" s="234" t="s">
        <v>11</v>
      </c>
      <c r="AB4" s="235">
        <v>49.34</v>
      </c>
      <c r="AC4" s="235">
        <v>114.13</v>
      </c>
      <c r="AD4" s="235">
        <v>86.79</v>
      </c>
      <c r="AE4" s="235">
        <v>18.16</v>
      </c>
      <c r="AF4" s="235">
        <v>54.87</v>
      </c>
    </row>
    <row r="5" spans="2:36" x14ac:dyDescent="0.2">
      <c r="B5" s="126" t="s">
        <v>12</v>
      </c>
      <c r="C5" s="127">
        <v>92.67</v>
      </c>
      <c r="D5" s="127">
        <v>130.57</v>
      </c>
      <c r="E5" s="127">
        <v>178.46</v>
      </c>
      <c r="F5" s="127">
        <v>267.20999999999998</v>
      </c>
      <c r="G5" s="127">
        <v>243.39</v>
      </c>
      <c r="H5" s="127">
        <v>237.01</v>
      </c>
      <c r="I5" s="127">
        <v>267.62</v>
      </c>
      <c r="K5" s="126" t="s">
        <v>13</v>
      </c>
      <c r="L5" s="127">
        <v>288</v>
      </c>
      <c r="M5" s="127">
        <v>331.6</v>
      </c>
      <c r="N5" s="127">
        <v>379.15</v>
      </c>
      <c r="O5" s="127">
        <v>394.9</v>
      </c>
      <c r="P5" s="127">
        <v>408</v>
      </c>
      <c r="Q5" s="143">
        <v>9.0999999999999998E-2</v>
      </c>
      <c r="S5" s="128" t="s">
        <v>14</v>
      </c>
      <c r="T5" s="129">
        <v>20.52</v>
      </c>
      <c r="U5" s="129">
        <v>40.090000000000003</v>
      </c>
      <c r="V5" s="129">
        <v>78.73</v>
      </c>
      <c r="W5" s="129">
        <v>114.99</v>
      </c>
      <c r="X5" s="129">
        <v>92.15</v>
      </c>
      <c r="Y5" s="129">
        <v>78.86</v>
      </c>
      <c r="AA5" s="234" t="s">
        <v>15</v>
      </c>
      <c r="AB5" s="235">
        <v>5</v>
      </c>
      <c r="AC5" s="235"/>
      <c r="AD5" s="235"/>
      <c r="AE5" s="235"/>
      <c r="AF5" s="235"/>
    </row>
    <row r="6" spans="2:36" x14ac:dyDescent="0.2">
      <c r="B6" s="128" t="s">
        <v>16</v>
      </c>
      <c r="C6" s="129">
        <v>92.67</v>
      </c>
      <c r="D6" s="129">
        <v>130.57</v>
      </c>
      <c r="E6" s="129">
        <v>178.46</v>
      </c>
      <c r="F6" s="129">
        <v>267.20999999999998</v>
      </c>
      <c r="G6" s="129">
        <v>243.39</v>
      </c>
      <c r="H6" s="129">
        <v>237.01</v>
      </c>
      <c r="I6" s="129">
        <v>267.62</v>
      </c>
      <c r="K6" s="138" t="s">
        <v>17</v>
      </c>
      <c r="L6" s="139">
        <v>0.215</v>
      </c>
      <c r="M6" s="139">
        <v>0.151</v>
      </c>
      <c r="N6" s="139">
        <v>0.14299999999999999</v>
      </c>
      <c r="O6" s="139">
        <v>4.2000000000000003E-2</v>
      </c>
      <c r="P6" s="139">
        <v>3.3000000000000002E-2</v>
      </c>
      <c r="Q6" s="122"/>
      <c r="S6" s="420" t="s">
        <v>18</v>
      </c>
      <c r="T6" s="421">
        <v>8.19</v>
      </c>
      <c r="U6" s="421">
        <v>8.5</v>
      </c>
      <c r="V6" s="421">
        <v>8.27</v>
      </c>
      <c r="W6" s="421">
        <v>7.51</v>
      </c>
      <c r="X6" s="421">
        <v>7.46</v>
      </c>
      <c r="Y6" s="421">
        <v>19.89</v>
      </c>
      <c r="AA6" s="236" t="s">
        <v>19</v>
      </c>
      <c r="AB6" s="237">
        <v>54.34</v>
      </c>
      <c r="AC6" s="237">
        <v>114.13</v>
      </c>
      <c r="AD6" s="237">
        <v>86.79</v>
      </c>
      <c r="AE6" s="237">
        <v>18.16</v>
      </c>
      <c r="AF6" s="237">
        <v>54.87</v>
      </c>
    </row>
    <row r="7" spans="2:36" x14ac:dyDescent="0.2">
      <c r="B7" s="130" t="s">
        <v>17</v>
      </c>
      <c r="C7" s="131">
        <v>0.41199999999999998</v>
      </c>
      <c r="D7" s="131">
        <v>0.40899999999999997</v>
      </c>
      <c r="E7" s="131">
        <v>0.36699999999999999</v>
      </c>
      <c r="F7" s="131">
        <v>0.497</v>
      </c>
      <c r="G7" s="132">
        <v>-8.8999999999999996E-2</v>
      </c>
      <c r="H7" s="132">
        <v>-2.5999999999999999E-2</v>
      </c>
      <c r="I7" s="133"/>
      <c r="K7" s="126" t="s">
        <v>20</v>
      </c>
      <c r="L7" s="127">
        <v>126.13</v>
      </c>
      <c r="M7" s="127">
        <v>154.87</v>
      </c>
      <c r="N7" s="127">
        <v>190.25</v>
      </c>
      <c r="O7" s="127">
        <v>201.25</v>
      </c>
      <c r="P7" s="127">
        <v>196</v>
      </c>
      <c r="Q7" s="143">
        <v>0.11700000000000001</v>
      </c>
      <c r="S7" s="420" t="s">
        <v>21</v>
      </c>
      <c r="T7" s="421">
        <v>0.09</v>
      </c>
      <c r="U7" s="421"/>
      <c r="V7" s="421">
        <v>7.0000000000000007E-2</v>
      </c>
      <c r="W7" s="421">
        <v>0.05</v>
      </c>
      <c r="X7" s="421">
        <v>0.05</v>
      </c>
      <c r="Y7" s="421">
        <v>0.16</v>
      </c>
      <c r="AA7" s="234" t="s">
        <v>22</v>
      </c>
      <c r="AB7" s="235">
        <v>20.84</v>
      </c>
      <c r="AC7" s="235">
        <v>23.89</v>
      </c>
      <c r="AD7" s="235">
        <v>23.4</v>
      </c>
      <c r="AE7" s="235">
        <v>29.63</v>
      </c>
      <c r="AF7" s="235">
        <v>35.85</v>
      </c>
    </row>
    <row r="8" spans="2:36" x14ac:dyDescent="0.2">
      <c r="B8" s="126" t="s">
        <v>23</v>
      </c>
      <c r="C8" s="134">
        <v>-59.82</v>
      </c>
      <c r="D8" s="134">
        <v>-70.819999999999993</v>
      </c>
      <c r="E8" s="134">
        <v>-75.14</v>
      </c>
      <c r="F8" s="134">
        <v>-102.02</v>
      </c>
      <c r="G8" s="134">
        <v>-119.6</v>
      </c>
      <c r="H8" s="134">
        <v>-123.52</v>
      </c>
      <c r="I8" s="134">
        <v>-147.65</v>
      </c>
      <c r="K8" s="138" t="s">
        <v>17</v>
      </c>
      <c r="L8" s="139">
        <v>0.156</v>
      </c>
      <c r="M8" s="139">
        <v>0.22800000000000001</v>
      </c>
      <c r="N8" s="139">
        <v>0.22800000000000001</v>
      </c>
      <c r="O8" s="139">
        <v>5.8000000000000003E-2</v>
      </c>
      <c r="P8" s="140">
        <v>-2.5999999999999999E-2</v>
      </c>
      <c r="Q8" s="122"/>
      <c r="S8" s="128" t="s">
        <v>24</v>
      </c>
      <c r="T8" s="129">
        <v>8.2799999999999994</v>
      </c>
      <c r="U8" s="129">
        <v>8.5</v>
      </c>
      <c r="V8" s="129">
        <v>8.34</v>
      </c>
      <c r="W8" s="129">
        <v>7.55</v>
      </c>
      <c r="X8" s="129">
        <v>7.51</v>
      </c>
      <c r="Y8" s="129">
        <v>20.059999999999999</v>
      </c>
      <c r="AA8" s="234" t="s">
        <v>25</v>
      </c>
      <c r="AB8" s="235">
        <v>12.21</v>
      </c>
      <c r="AC8" s="235">
        <v>4.07</v>
      </c>
      <c r="AD8" s="235">
        <v>13.21</v>
      </c>
      <c r="AE8" s="235">
        <v>28.22</v>
      </c>
      <c r="AF8" s="235">
        <v>30.42</v>
      </c>
    </row>
    <row r="9" spans="2:36" x14ac:dyDescent="0.2">
      <c r="B9" s="135" t="s">
        <v>26</v>
      </c>
      <c r="C9" s="136">
        <v>32.85</v>
      </c>
      <c r="D9" s="136">
        <v>59.74</v>
      </c>
      <c r="E9" s="136">
        <v>103.31</v>
      </c>
      <c r="F9" s="136">
        <v>165.2</v>
      </c>
      <c r="G9" s="136">
        <v>123.79</v>
      </c>
      <c r="H9" s="136">
        <v>113.49</v>
      </c>
      <c r="I9" s="136">
        <v>119.97</v>
      </c>
      <c r="K9" s="138" t="s">
        <v>27</v>
      </c>
      <c r="L9" s="139">
        <v>0.438</v>
      </c>
      <c r="M9" s="139">
        <v>0.46700000000000003</v>
      </c>
      <c r="N9" s="139">
        <v>0.502</v>
      </c>
      <c r="O9" s="139">
        <v>0.51</v>
      </c>
      <c r="P9" s="139">
        <v>0.48</v>
      </c>
      <c r="Q9" s="139">
        <v>2.3E-2</v>
      </c>
      <c r="S9" s="126" t="s">
        <v>28</v>
      </c>
      <c r="T9" s="134">
        <v>-0.24</v>
      </c>
      <c r="U9" s="127">
        <v>0.06</v>
      </c>
      <c r="V9" s="134">
        <v>-1.96</v>
      </c>
      <c r="W9" s="134">
        <v>-0.09</v>
      </c>
      <c r="X9" s="134">
        <v>-0.53</v>
      </c>
      <c r="Y9" s="134">
        <v>-0.11</v>
      </c>
      <c r="AA9" s="234" t="s">
        <v>29</v>
      </c>
      <c r="AB9" s="235">
        <v>0.02</v>
      </c>
      <c r="AC9" s="235"/>
      <c r="AD9" s="235"/>
      <c r="AE9" s="235"/>
      <c r="AF9" s="235"/>
    </row>
    <row r="10" spans="2:36" x14ac:dyDescent="0.2">
      <c r="B10" s="130" t="s">
        <v>17</v>
      </c>
      <c r="C10" s="132">
        <v>-0.04</v>
      </c>
      <c r="D10" s="131">
        <v>0.81899999999999995</v>
      </c>
      <c r="E10" s="131">
        <v>0.72899999999999998</v>
      </c>
      <c r="F10" s="131">
        <v>0.59899999999999998</v>
      </c>
      <c r="G10" s="132">
        <v>-0.251</v>
      </c>
      <c r="H10" s="132">
        <v>-8.3000000000000004E-2</v>
      </c>
      <c r="I10" s="133"/>
      <c r="K10" s="126" t="s">
        <v>30</v>
      </c>
      <c r="L10" s="127">
        <v>109.13</v>
      </c>
      <c r="M10" s="127">
        <v>132.30000000000001</v>
      </c>
      <c r="N10" s="127">
        <v>158.33000000000001</v>
      </c>
      <c r="O10" s="127">
        <v>167.73</v>
      </c>
      <c r="P10" s="127">
        <v>170</v>
      </c>
      <c r="Q10" s="143">
        <v>0.11700000000000001</v>
      </c>
      <c r="S10" s="126" t="s">
        <v>31</v>
      </c>
      <c r="T10" s="127"/>
      <c r="U10" s="127">
        <v>0.59</v>
      </c>
      <c r="V10" s="127"/>
      <c r="W10" s="127"/>
      <c r="X10" s="127"/>
      <c r="Y10" s="127"/>
      <c r="AA10" s="236" t="s">
        <v>32</v>
      </c>
      <c r="AB10" s="237">
        <v>33.06</v>
      </c>
      <c r="AC10" s="237">
        <v>27.96</v>
      </c>
      <c r="AD10" s="237">
        <v>36.61</v>
      </c>
      <c r="AE10" s="237">
        <v>57.85</v>
      </c>
      <c r="AF10" s="237">
        <v>66.27</v>
      </c>
    </row>
    <row r="11" spans="2:36" x14ac:dyDescent="0.2">
      <c r="B11" s="130" t="s">
        <v>33</v>
      </c>
      <c r="C11" s="131">
        <v>0.35399999999999998</v>
      </c>
      <c r="D11" s="131">
        <v>0.45800000000000002</v>
      </c>
      <c r="E11" s="131">
        <v>0.57899999999999996</v>
      </c>
      <c r="F11" s="131">
        <v>0.61799999999999999</v>
      </c>
      <c r="G11" s="131">
        <v>0.50900000000000001</v>
      </c>
      <c r="H11" s="131">
        <v>0.47899999999999998</v>
      </c>
      <c r="I11" s="131">
        <v>0.44800000000000001</v>
      </c>
      <c r="K11" s="138" t="s">
        <v>17</v>
      </c>
      <c r="L11" s="139">
        <v>0.13700000000000001</v>
      </c>
      <c r="M11" s="139">
        <v>0.21199999999999999</v>
      </c>
      <c r="N11" s="139">
        <v>0.19700000000000001</v>
      </c>
      <c r="O11" s="139">
        <v>5.8999999999999997E-2</v>
      </c>
      <c r="P11" s="139">
        <v>1.4E-2</v>
      </c>
      <c r="Q11" s="122"/>
      <c r="S11" s="126" t="s">
        <v>34</v>
      </c>
      <c r="T11" s="127"/>
      <c r="U11" s="127"/>
      <c r="V11" s="127"/>
      <c r="W11" s="127"/>
      <c r="X11" s="127"/>
      <c r="Y11" s="127"/>
      <c r="AA11" s="234" t="s">
        <v>35</v>
      </c>
      <c r="AB11" s="235">
        <v>0.72</v>
      </c>
      <c r="AC11" s="235">
        <v>0.82</v>
      </c>
      <c r="AD11" s="235">
        <v>1.0900000000000001</v>
      </c>
      <c r="AE11" s="235">
        <v>2</v>
      </c>
      <c r="AF11" s="235">
        <v>2.76</v>
      </c>
      <c r="AI11" s="23">
        <f>SUM(AD18+AD11+AD12+AD13)</f>
        <v>2.84</v>
      </c>
      <c r="AJ11" s="23">
        <f>SUM(AE11+AE12+AE13)</f>
        <v>4.05</v>
      </c>
    </row>
    <row r="12" spans="2:36" x14ac:dyDescent="0.2">
      <c r="B12" s="126" t="s">
        <v>36</v>
      </c>
      <c r="C12" s="134">
        <v>-6.29</v>
      </c>
      <c r="D12" s="134">
        <v>-8.34</v>
      </c>
      <c r="E12" s="134">
        <v>-8.8000000000000007</v>
      </c>
      <c r="F12" s="134">
        <v>-8.84</v>
      </c>
      <c r="G12" s="134">
        <v>-10.119999999999999</v>
      </c>
      <c r="H12" s="134">
        <v>-17.63</v>
      </c>
      <c r="I12" s="134">
        <v>-21.85</v>
      </c>
      <c r="K12" s="138" t="s">
        <v>37</v>
      </c>
      <c r="L12" s="139">
        <v>0.379</v>
      </c>
      <c r="M12" s="139">
        <v>0.39900000000000002</v>
      </c>
      <c r="N12" s="139">
        <v>0.41799999999999998</v>
      </c>
      <c r="O12" s="139">
        <v>0.42499999999999999</v>
      </c>
      <c r="P12" s="139">
        <v>0.41699999999999998</v>
      </c>
      <c r="Q12" s="139">
        <v>2.4E-2</v>
      </c>
      <c r="S12" s="126" t="s">
        <v>38</v>
      </c>
      <c r="T12" s="127">
        <v>3.52</v>
      </c>
      <c r="U12" s="127">
        <v>2.08</v>
      </c>
      <c r="V12" s="127">
        <v>0.22</v>
      </c>
      <c r="W12" s="134">
        <v>-0.65</v>
      </c>
      <c r="X12" s="134">
        <v>-1.71</v>
      </c>
      <c r="Y12" s="134">
        <v>-3.87</v>
      </c>
      <c r="AA12" s="234" t="s">
        <v>39</v>
      </c>
      <c r="AB12" s="235">
        <v>0.17</v>
      </c>
      <c r="AC12" s="235">
        <v>0.15</v>
      </c>
      <c r="AD12" s="235">
        <v>0.37</v>
      </c>
      <c r="AE12" s="235">
        <v>0.36</v>
      </c>
      <c r="AF12" s="235"/>
    </row>
    <row r="13" spans="2:36" x14ac:dyDescent="0.2">
      <c r="B13" s="126" t="s">
        <v>18</v>
      </c>
      <c r="C13" s="127"/>
      <c r="D13" s="127"/>
      <c r="E13" s="127"/>
      <c r="F13" s="127"/>
      <c r="G13" s="127"/>
      <c r="H13" s="127"/>
      <c r="I13" s="127"/>
      <c r="K13" s="126" t="s">
        <v>40</v>
      </c>
      <c r="L13" s="127">
        <v>101.93</v>
      </c>
      <c r="M13" s="127">
        <v>127.41</v>
      </c>
      <c r="N13" s="127">
        <v>153.61000000000001</v>
      </c>
      <c r="O13" s="127">
        <v>188.6</v>
      </c>
      <c r="P13" s="127"/>
      <c r="Q13" s="127"/>
      <c r="S13" s="126" t="s">
        <v>41</v>
      </c>
      <c r="T13" s="134">
        <v>-3.64</v>
      </c>
      <c r="U13" s="134">
        <v>-12.05</v>
      </c>
      <c r="V13" s="134">
        <v>-9.14</v>
      </c>
      <c r="W13" s="127">
        <v>4.3600000000000003</v>
      </c>
      <c r="X13" s="134">
        <v>-6.91</v>
      </c>
      <c r="Y13" s="134">
        <v>-22.04</v>
      </c>
      <c r="AA13" s="234" t="s">
        <v>42</v>
      </c>
      <c r="AB13" s="235">
        <v>0.95</v>
      </c>
      <c r="AC13" s="235">
        <v>0.04</v>
      </c>
      <c r="AD13" s="235">
        <v>0.55000000000000004</v>
      </c>
      <c r="AE13" s="235">
        <v>1.69</v>
      </c>
      <c r="AF13" s="235"/>
    </row>
    <row r="14" spans="2:36" x14ac:dyDescent="0.2">
      <c r="B14" s="126" t="s">
        <v>21</v>
      </c>
      <c r="C14" s="127"/>
      <c r="D14" s="127"/>
      <c r="E14" s="127"/>
      <c r="F14" s="127"/>
      <c r="G14" s="127"/>
      <c r="H14" s="127"/>
      <c r="I14" s="127"/>
      <c r="K14" s="138" t="s">
        <v>17</v>
      </c>
      <c r="L14" s="139">
        <v>4.3999999999999997E-2</v>
      </c>
      <c r="M14" s="139">
        <v>0.25</v>
      </c>
      <c r="N14" s="139">
        <v>0.20599999999999999</v>
      </c>
      <c r="O14" s="139">
        <v>0.22800000000000001</v>
      </c>
      <c r="P14" s="141"/>
      <c r="Q14" s="122"/>
      <c r="S14" s="126" t="s">
        <v>43</v>
      </c>
      <c r="T14" s="134">
        <v>-7.0000000000000007E-2</v>
      </c>
      <c r="U14" s="134">
        <v>-0.04</v>
      </c>
      <c r="V14" s="127">
        <v>0.26</v>
      </c>
      <c r="W14" s="134">
        <v>-0.09</v>
      </c>
      <c r="X14" s="134">
        <v>-0.28000000000000003</v>
      </c>
      <c r="Y14" s="127">
        <v>0.21</v>
      </c>
      <c r="AA14" s="236" t="s">
        <v>44</v>
      </c>
      <c r="AB14" s="237">
        <v>89.25</v>
      </c>
      <c r="AC14" s="237">
        <v>143.1</v>
      </c>
      <c r="AD14" s="237">
        <v>125.41</v>
      </c>
      <c r="AE14" s="237">
        <v>80.069999999999993</v>
      </c>
      <c r="AF14" s="237">
        <v>123.9</v>
      </c>
    </row>
    <row r="15" spans="2:36" x14ac:dyDescent="0.2">
      <c r="B15" s="126" t="s">
        <v>45</v>
      </c>
      <c r="C15" s="134">
        <v>-0.04</v>
      </c>
      <c r="D15" s="134">
        <v>-0.49</v>
      </c>
      <c r="E15" s="127">
        <v>0.71</v>
      </c>
      <c r="F15" s="134">
        <v>-10.35</v>
      </c>
      <c r="G15" s="134">
        <v>-2.06</v>
      </c>
      <c r="H15" s="134">
        <v>-0.03</v>
      </c>
      <c r="I15" s="134">
        <v>-3.97</v>
      </c>
      <c r="K15" s="138" t="s">
        <v>46</v>
      </c>
      <c r="L15" s="139">
        <v>0.35399999999999998</v>
      </c>
      <c r="M15" s="139">
        <v>0.38400000000000001</v>
      </c>
      <c r="N15" s="139">
        <v>0.40500000000000003</v>
      </c>
      <c r="O15" s="139">
        <v>0.47799999999999998</v>
      </c>
      <c r="P15" s="141"/>
      <c r="Q15" s="141"/>
      <c r="S15" s="126" t="s">
        <v>47</v>
      </c>
      <c r="T15" s="127"/>
      <c r="U15" s="134">
        <v>-2.46</v>
      </c>
      <c r="V15" s="134">
        <v>-3.49</v>
      </c>
      <c r="W15" s="134">
        <v>-2.3199999999999998</v>
      </c>
      <c r="X15" s="134">
        <v>-2.2599999999999998</v>
      </c>
      <c r="Y15" s="134">
        <v>-7.4</v>
      </c>
      <c r="AA15" s="234" t="s">
        <v>48</v>
      </c>
      <c r="AB15" s="235">
        <v>206.26</v>
      </c>
      <c r="AC15" s="235">
        <v>192.65</v>
      </c>
      <c r="AD15" s="235">
        <v>228.96</v>
      </c>
      <c r="AE15" s="235">
        <v>320.08999999999997</v>
      </c>
      <c r="AF15" s="235"/>
    </row>
    <row r="16" spans="2:36" x14ac:dyDescent="0.2">
      <c r="B16" s="135" t="s">
        <v>49</v>
      </c>
      <c r="C16" s="137">
        <v>-6.33</v>
      </c>
      <c r="D16" s="137">
        <v>-8.83</v>
      </c>
      <c r="E16" s="137">
        <v>-8.09</v>
      </c>
      <c r="F16" s="137">
        <v>-19.190000000000001</v>
      </c>
      <c r="G16" s="137">
        <v>-12.19</v>
      </c>
      <c r="H16" s="137">
        <v>-17.670000000000002</v>
      </c>
      <c r="I16" s="137">
        <v>-25.83</v>
      </c>
      <c r="K16" s="126" t="s">
        <v>50</v>
      </c>
      <c r="L16" s="127">
        <v>80.83</v>
      </c>
      <c r="M16" s="127">
        <v>102.63</v>
      </c>
      <c r="N16" s="127">
        <v>120.07</v>
      </c>
      <c r="O16" s="127">
        <v>136.35</v>
      </c>
      <c r="P16" s="127"/>
      <c r="Q16" s="127"/>
      <c r="S16" s="126" t="s">
        <v>51</v>
      </c>
      <c r="T16" s="134">
        <v>-0.84</v>
      </c>
      <c r="U16" s="127">
        <v>4.16</v>
      </c>
      <c r="V16" s="127">
        <v>1.21</v>
      </c>
      <c r="W16" s="127">
        <v>12.92</v>
      </c>
      <c r="X16" s="127">
        <v>3.92</v>
      </c>
      <c r="Y16" s="127">
        <v>2.17</v>
      </c>
      <c r="AA16" s="234" t="s">
        <v>52</v>
      </c>
      <c r="AB16" s="238">
        <v>-90.27</v>
      </c>
      <c r="AC16" s="238">
        <v>-80.569999999999993</v>
      </c>
      <c r="AD16" s="238">
        <v>-85.62</v>
      </c>
      <c r="AE16" s="238">
        <v>-104.29</v>
      </c>
      <c r="AF16" s="235"/>
    </row>
    <row r="17" spans="2:34" x14ac:dyDescent="0.2">
      <c r="B17" s="128" t="s">
        <v>53</v>
      </c>
      <c r="C17" s="129">
        <v>26.52</v>
      </c>
      <c r="D17" s="129">
        <v>50.91</v>
      </c>
      <c r="E17" s="129">
        <v>95.23</v>
      </c>
      <c r="F17" s="129">
        <v>146</v>
      </c>
      <c r="G17" s="129">
        <v>111.6</v>
      </c>
      <c r="H17" s="129">
        <v>95.82</v>
      </c>
      <c r="I17" s="129">
        <v>94.14</v>
      </c>
      <c r="K17" s="138" t="s">
        <v>17</v>
      </c>
      <c r="L17" s="139">
        <v>2.5000000000000001E-2</v>
      </c>
      <c r="M17" s="139">
        <v>0.27</v>
      </c>
      <c r="N17" s="139">
        <v>0.17</v>
      </c>
      <c r="O17" s="139">
        <v>0.13600000000000001</v>
      </c>
      <c r="P17" s="141"/>
      <c r="Q17" s="122"/>
      <c r="S17" s="135" t="s">
        <v>54</v>
      </c>
      <c r="T17" s="136">
        <v>27.54</v>
      </c>
      <c r="U17" s="136">
        <v>40.92</v>
      </c>
      <c r="V17" s="136">
        <v>74.16</v>
      </c>
      <c r="W17" s="136">
        <v>136.66999999999999</v>
      </c>
      <c r="X17" s="136">
        <v>91.91</v>
      </c>
      <c r="Y17" s="136">
        <v>67.87</v>
      </c>
      <c r="AA17" s="236" t="s">
        <v>55</v>
      </c>
      <c r="AB17" s="237">
        <v>115.98</v>
      </c>
      <c r="AC17" s="237">
        <v>112.08</v>
      </c>
      <c r="AD17" s="237">
        <v>143.35</v>
      </c>
      <c r="AE17" s="237">
        <v>215.8</v>
      </c>
      <c r="AF17" s="237">
        <v>304.33</v>
      </c>
    </row>
    <row r="18" spans="2:34" x14ac:dyDescent="0.2">
      <c r="B18" s="130" t="s">
        <v>17</v>
      </c>
      <c r="C18" s="131">
        <v>1.5309999999999999</v>
      </c>
      <c r="D18" s="131">
        <v>0.92</v>
      </c>
      <c r="E18" s="131">
        <v>0.87</v>
      </c>
      <c r="F18" s="131">
        <v>0.53300000000000003</v>
      </c>
      <c r="G18" s="132">
        <v>-0.23599999999999999</v>
      </c>
      <c r="H18" s="132">
        <v>-0.14099999999999999</v>
      </c>
      <c r="I18" s="133"/>
      <c r="K18" s="138" t="s">
        <v>56</v>
      </c>
      <c r="L18" s="139">
        <v>0.28100000000000003</v>
      </c>
      <c r="M18" s="139">
        <v>0.31</v>
      </c>
      <c r="N18" s="139">
        <v>0.317</v>
      </c>
      <c r="O18" s="139">
        <v>0.34499999999999997</v>
      </c>
      <c r="P18" s="141"/>
      <c r="Q18" s="141"/>
      <c r="S18" s="138" t="s">
        <v>57</v>
      </c>
      <c r="T18" s="142">
        <v>-4.54</v>
      </c>
      <c r="U18" s="142">
        <v>-10.39</v>
      </c>
      <c r="V18" s="142">
        <v>-11.16</v>
      </c>
      <c r="W18" s="141">
        <v>14.87</v>
      </c>
      <c r="X18" s="142">
        <v>-5.51</v>
      </c>
      <c r="Y18" s="142">
        <v>-27.07</v>
      </c>
      <c r="AA18" s="234" t="s">
        <v>58</v>
      </c>
      <c r="AB18" s="235">
        <v>0.83</v>
      </c>
      <c r="AC18" s="235">
        <v>0.83</v>
      </c>
      <c r="AD18" s="235">
        <v>0.83</v>
      </c>
      <c r="AE18" s="235">
        <v>40.04</v>
      </c>
      <c r="AF18" s="235">
        <v>40.04</v>
      </c>
    </row>
    <row r="19" spans="2:34" x14ac:dyDescent="0.2">
      <c r="B19" s="130" t="s">
        <v>59</v>
      </c>
      <c r="C19" s="131">
        <v>0.28599999999999998</v>
      </c>
      <c r="D19" s="131">
        <v>0.39</v>
      </c>
      <c r="E19" s="131">
        <v>0.53400000000000003</v>
      </c>
      <c r="F19" s="131">
        <v>0.54600000000000004</v>
      </c>
      <c r="G19" s="131">
        <v>0.45900000000000002</v>
      </c>
      <c r="H19" s="131">
        <v>0.40400000000000003</v>
      </c>
      <c r="I19" s="131">
        <v>0.35199999999999998</v>
      </c>
      <c r="K19" s="126" t="s">
        <v>60</v>
      </c>
      <c r="L19" s="127">
        <v>23.34</v>
      </c>
      <c r="M19" s="127">
        <v>29.14</v>
      </c>
      <c r="N19" s="127">
        <v>32.04</v>
      </c>
      <c r="O19" s="127"/>
      <c r="P19" s="127"/>
      <c r="Q19" s="127"/>
      <c r="S19" s="126" t="s">
        <v>61</v>
      </c>
      <c r="T19" s="134">
        <v>-1.79</v>
      </c>
      <c r="U19" s="134">
        <v>-1.74</v>
      </c>
      <c r="V19" s="134">
        <v>-1.92</v>
      </c>
      <c r="W19" s="134">
        <v>-1.77</v>
      </c>
      <c r="X19" s="134">
        <v>-11.2</v>
      </c>
      <c r="Y19" s="134">
        <v>-62.56</v>
      </c>
      <c r="AA19" s="234" t="s">
        <v>62</v>
      </c>
      <c r="AB19" s="235">
        <v>0.64</v>
      </c>
      <c r="AC19" s="235">
        <v>0.61</v>
      </c>
      <c r="AD19" s="235">
        <v>0.61</v>
      </c>
      <c r="AE19" s="235">
        <v>1.91</v>
      </c>
      <c r="AF19" s="235">
        <v>2.86</v>
      </c>
    </row>
    <row r="20" spans="2:34" x14ac:dyDescent="0.2">
      <c r="B20" s="126" t="s">
        <v>63</v>
      </c>
      <c r="C20" s="134">
        <v>-1.3</v>
      </c>
      <c r="D20" s="134">
        <v>-0.79</v>
      </c>
      <c r="E20" s="134">
        <v>-0.42</v>
      </c>
      <c r="F20" s="134">
        <v>-2.1800000000000002</v>
      </c>
      <c r="G20" s="134">
        <v>-0.48</v>
      </c>
      <c r="H20" s="134">
        <v>-1.44</v>
      </c>
      <c r="I20" s="134">
        <v>-4.99</v>
      </c>
      <c r="K20" s="138" t="s">
        <v>17</v>
      </c>
      <c r="L20" s="139">
        <v>0.04</v>
      </c>
      <c r="M20" s="139">
        <v>0.249</v>
      </c>
      <c r="N20" s="139">
        <v>0.1</v>
      </c>
      <c r="O20" s="141"/>
      <c r="P20" s="141"/>
      <c r="Q20" s="122"/>
      <c r="S20" s="126" t="s">
        <v>64</v>
      </c>
      <c r="T20" s="127">
        <v>0.71</v>
      </c>
      <c r="U20" s="127">
        <v>0.17</v>
      </c>
      <c r="V20" s="127">
        <v>12.15</v>
      </c>
      <c r="W20" s="127">
        <v>0.41</v>
      </c>
      <c r="X20" s="127">
        <v>0.86</v>
      </c>
      <c r="Y20" s="127">
        <v>3</v>
      </c>
      <c r="AA20" s="234" t="s">
        <v>65</v>
      </c>
      <c r="AB20" s="235"/>
      <c r="AC20" s="235"/>
      <c r="AD20" s="235"/>
      <c r="AE20" s="235"/>
      <c r="AF20" s="235"/>
    </row>
    <row r="21" spans="2:34" x14ac:dyDescent="0.2">
      <c r="B21" s="126" t="s">
        <v>66</v>
      </c>
      <c r="C21" s="127">
        <v>0.04</v>
      </c>
      <c r="D21" s="127">
        <v>0.3</v>
      </c>
      <c r="E21" s="127">
        <v>0.17</v>
      </c>
      <c r="F21" s="127">
        <v>0.08</v>
      </c>
      <c r="G21" s="127">
        <v>2.34</v>
      </c>
      <c r="H21" s="127">
        <v>3.3</v>
      </c>
      <c r="I21" s="127">
        <v>1.1299999999999999</v>
      </c>
      <c r="K21" s="126" t="s">
        <v>67</v>
      </c>
      <c r="L21" s="127">
        <v>23.34</v>
      </c>
      <c r="M21" s="127">
        <v>29.14</v>
      </c>
      <c r="N21" s="127">
        <v>32.04</v>
      </c>
      <c r="O21" s="127"/>
      <c r="P21" s="127"/>
      <c r="Q21" s="127"/>
      <c r="S21" s="126" t="s">
        <v>68</v>
      </c>
      <c r="T21" s="127"/>
      <c r="U21" s="127"/>
      <c r="V21" s="127"/>
      <c r="W21" s="127"/>
      <c r="X21" s="127"/>
      <c r="Y21" s="134">
        <v>-29.27</v>
      </c>
      <c r="AA21" s="234" t="s">
        <v>69</v>
      </c>
      <c r="AB21" s="235">
        <v>2.37</v>
      </c>
      <c r="AC21" s="235">
        <v>2.94</v>
      </c>
      <c r="AD21" s="235">
        <v>1.19</v>
      </c>
      <c r="AE21" s="235">
        <v>0.62</v>
      </c>
      <c r="AF21" s="235">
        <v>0.41</v>
      </c>
    </row>
    <row r="22" spans="2:34" x14ac:dyDescent="0.2">
      <c r="B22" s="126" t="s">
        <v>70</v>
      </c>
      <c r="C22" s="127">
        <v>0.05</v>
      </c>
      <c r="D22" s="134">
        <v>-0.05</v>
      </c>
      <c r="E22" s="127">
        <v>0.18</v>
      </c>
      <c r="F22" s="134">
        <v>-0.03</v>
      </c>
      <c r="G22" s="127">
        <v>0.02</v>
      </c>
      <c r="H22" s="134">
        <v>-0.23</v>
      </c>
      <c r="I22" s="134">
        <v>-0.23</v>
      </c>
      <c r="K22" s="138" t="s">
        <v>17</v>
      </c>
      <c r="L22" s="139">
        <v>0.04</v>
      </c>
      <c r="M22" s="139">
        <v>0.249</v>
      </c>
      <c r="N22" s="139">
        <v>0.1</v>
      </c>
      <c r="O22" s="141"/>
      <c r="P22" s="141"/>
      <c r="Q22" s="122"/>
      <c r="S22" s="126" t="s">
        <v>71</v>
      </c>
      <c r="T22" s="127"/>
      <c r="U22" s="127"/>
      <c r="V22" s="134">
        <v>-5</v>
      </c>
      <c r="W22" s="127">
        <v>5</v>
      </c>
      <c r="X22" s="127"/>
      <c r="Y22" s="127"/>
      <c r="AA22" s="236" t="s">
        <v>72</v>
      </c>
      <c r="AB22" s="237">
        <v>209.07</v>
      </c>
      <c r="AC22" s="237">
        <v>259.56</v>
      </c>
      <c r="AD22" s="237">
        <v>271.39</v>
      </c>
      <c r="AE22" s="237">
        <v>338.44</v>
      </c>
      <c r="AF22" s="237">
        <v>471.53</v>
      </c>
    </row>
    <row r="23" spans="2:34" x14ac:dyDescent="0.2">
      <c r="B23" s="126" t="s">
        <v>73</v>
      </c>
      <c r="C23" s="134">
        <v>-0.02</v>
      </c>
      <c r="D23" s="134">
        <v>-0.01</v>
      </c>
      <c r="E23" s="134">
        <v>-0.01</v>
      </c>
      <c r="F23" s="134">
        <v>-0.02</v>
      </c>
      <c r="G23" s="127"/>
      <c r="H23" s="134">
        <v>0</v>
      </c>
      <c r="I23" s="134">
        <v>0</v>
      </c>
      <c r="K23" s="126" t="s">
        <v>74</v>
      </c>
      <c r="L23" s="134">
        <v>-2</v>
      </c>
      <c r="M23" s="127">
        <v>65.5</v>
      </c>
      <c r="N23" s="127">
        <v>99</v>
      </c>
      <c r="O23" s="127">
        <v>130</v>
      </c>
      <c r="P23" s="127">
        <v>133.5</v>
      </c>
      <c r="Q23" s="127"/>
      <c r="S23" s="126" t="s">
        <v>75</v>
      </c>
      <c r="T23" s="127"/>
      <c r="U23" s="127"/>
      <c r="V23" s="127"/>
      <c r="W23" s="127"/>
      <c r="X23" s="127"/>
      <c r="Y23" s="134">
        <v>-1.5</v>
      </c>
      <c r="AA23" s="234" t="s">
        <v>76</v>
      </c>
      <c r="AB23" s="235">
        <v>5.95</v>
      </c>
      <c r="AC23" s="235">
        <v>10.83</v>
      </c>
      <c r="AD23" s="235">
        <v>12.69</v>
      </c>
      <c r="AE23" s="235">
        <v>15.87</v>
      </c>
      <c r="AF23" s="235">
        <v>17.55</v>
      </c>
    </row>
    <row r="24" spans="2:34" x14ac:dyDescent="0.2">
      <c r="B24" s="135" t="s">
        <v>77</v>
      </c>
      <c r="C24" s="136">
        <v>25.29</v>
      </c>
      <c r="D24" s="136">
        <v>50.35</v>
      </c>
      <c r="E24" s="136">
        <v>95.16</v>
      </c>
      <c r="F24" s="136">
        <v>143.86000000000001</v>
      </c>
      <c r="G24" s="136">
        <v>113.48</v>
      </c>
      <c r="H24" s="136">
        <v>97.45</v>
      </c>
      <c r="I24" s="136">
        <v>90.05</v>
      </c>
      <c r="K24" s="138" t="s">
        <v>17</v>
      </c>
      <c r="L24" s="140">
        <v>-1.377</v>
      </c>
      <c r="M24" s="139">
        <v>33.75</v>
      </c>
      <c r="N24" s="139">
        <v>0.51100000000000001</v>
      </c>
      <c r="O24" s="139">
        <v>0.313</v>
      </c>
      <c r="P24" s="139">
        <v>2.7E-2</v>
      </c>
      <c r="Q24" s="122"/>
      <c r="S24" s="126" t="s">
        <v>78</v>
      </c>
      <c r="T24" s="127"/>
      <c r="U24" s="127"/>
      <c r="V24" s="127"/>
      <c r="W24" s="127"/>
      <c r="X24" s="127">
        <v>2.29</v>
      </c>
      <c r="Y24" s="127">
        <v>3.5</v>
      </c>
      <c r="AA24" s="234" t="s">
        <v>79</v>
      </c>
      <c r="AB24" s="235">
        <v>3.85</v>
      </c>
      <c r="AC24" s="235">
        <v>3.66</v>
      </c>
      <c r="AD24" s="235">
        <v>3.42</v>
      </c>
      <c r="AE24" s="235">
        <v>1.1499999999999999</v>
      </c>
      <c r="AF24" s="235">
        <v>1.21</v>
      </c>
    </row>
    <row r="25" spans="2:34" x14ac:dyDescent="0.2">
      <c r="B25" s="126" t="s">
        <v>80</v>
      </c>
      <c r="C25" s="127"/>
      <c r="D25" s="134">
        <v>-0.59</v>
      </c>
      <c r="E25" s="127"/>
      <c r="F25" s="127"/>
      <c r="G25" s="127"/>
      <c r="H25" s="127"/>
      <c r="I25" s="127"/>
      <c r="K25" s="138" t="s">
        <v>81</v>
      </c>
      <c r="L25" s="140">
        <v>-7.0000000000000001E-3</v>
      </c>
      <c r="M25" s="139">
        <v>0.19800000000000001</v>
      </c>
      <c r="N25" s="139">
        <v>0.26100000000000001</v>
      </c>
      <c r="O25" s="139">
        <v>0.32900000000000001</v>
      </c>
      <c r="P25" s="139">
        <v>0.32700000000000001</v>
      </c>
      <c r="Q25" s="141"/>
      <c r="S25" s="135" t="s">
        <v>82</v>
      </c>
      <c r="T25" s="137">
        <v>-1.08</v>
      </c>
      <c r="U25" s="137">
        <v>-1.57</v>
      </c>
      <c r="V25" s="136">
        <v>5.24</v>
      </c>
      <c r="W25" s="136">
        <v>3.64</v>
      </c>
      <c r="X25" s="137">
        <v>-8.0500000000000007</v>
      </c>
      <c r="Y25" s="137">
        <v>-86.84</v>
      </c>
      <c r="AA25" s="234" t="s">
        <v>83</v>
      </c>
      <c r="AB25" s="235"/>
      <c r="AC25" s="235"/>
      <c r="AD25" s="235"/>
      <c r="AE25" s="235"/>
      <c r="AF25" s="235"/>
    </row>
    <row r="26" spans="2:34" x14ac:dyDescent="0.2">
      <c r="B26" s="126" t="s">
        <v>84</v>
      </c>
      <c r="C26" s="127">
        <v>0.25</v>
      </c>
      <c r="D26" s="134">
        <v>-0.05</v>
      </c>
      <c r="E26" s="127">
        <v>1.99</v>
      </c>
      <c r="F26" s="127">
        <v>0.09</v>
      </c>
      <c r="G26" s="127">
        <v>0.56999999999999995</v>
      </c>
      <c r="H26" s="127">
        <v>0.14000000000000001</v>
      </c>
      <c r="I26" s="127">
        <v>0.14000000000000001</v>
      </c>
      <c r="K26" s="126" t="s">
        <v>85</v>
      </c>
      <c r="L26" s="127">
        <v>12.76</v>
      </c>
      <c r="M26" s="127">
        <v>20.6</v>
      </c>
      <c r="N26" s="127">
        <v>24.19</v>
      </c>
      <c r="O26" s="127"/>
      <c r="P26" s="127"/>
      <c r="Q26" s="127"/>
      <c r="S26" s="126" t="s">
        <v>86</v>
      </c>
      <c r="T26" s="127"/>
      <c r="U26" s="127"/>
      <c r="V26" s="127">
        <v>0.18</v>
      </c>
      <c r="W26" s="127"/>
      <c r="X26" s="127"/>
      <c r="Y26" s="127"/>
      <c r="AA26" s="234" t="s">
        <v>87</v>
      </c>
      <c r="AB26" s="235">
        <v>4.32</v>
      </c>
      <c r="AC26" s="235">
        <v>0.05</v>
      </c>
      <c r="AD26" s="235">
        <v>0.02</v>
      </c>
      <c r="AE26" s="235">
        <v>3.51</v>
      </c>
      <c r="AF26" s="235">
        <v>14.11</v>
      </c>
    </row>
    <row r="27" spans="2:34" x14ac:dyDescent="0.2">
      <c r="B27" s="126" t="s">
        <v>88</v>
      </c>
      <c r="C27" s="127"/>
      <c r="D27" s="127"/>
      <c r="E27" s="127"/>
      <c r="F27" s="127"/>
      <c r="G27" s="127"/>
      <c r="H27" s="127"/>
      <c r="I27" s="127"/>
      <c r="K27" s="138" t="s">
        <v>17</v>
      </c>
      <c r="L27" s="140">
        <v>-3.1E-2</v>
      </c>
      <c r="M27" s="139">
        <v>0.61399999999999999</v>
      </c>
      <c r="N27" s="139">
        <v>0.17399999999999999</v>
      </c>
      <c r="O27" s="141"/>
      <c r="P27" s="141"/>
      <c r="Q27" s="122"/>
      <c r="S27" s="126" t="s">
        <v>89</v>
      </c>
      <c r="T27" s="134">
        <v>-11.04</v>
      </c>
      <c r="U27" s="134">
        <v>-8.7899999999999991</v>
      </c>
      <c r="V27" s="134">
        <v>-9.0500000000000007</v>
      </c>
      <c r="W27" s="134">
        <v>-4.71</v>
      </c>
      <c r="X27" s="134">
        <v>-0.5</v>
      </c>
      <c r="Y27" s="134">
        <v>-2.95</v>
      </c>
      <c r="AA27" s="234" t="s">
        <v>90</v>
      </c>
      <c r="AB27" s="235">
        <v>0.19</v>
      </c>
      <c r="AC27" s="235">
        <v>0.35</v>
      </c>
      <c r="AD27" s="235">
        <v>0.32</v>
      </c>
      <c r="AE27" s="235">
        <v>2.76</v>
      </c>
      <c r="AF27" s="235">
        <v>6.6</v>
      </c>
      <c r="AH27" s="23">
        <f>SUM(AD26:AD29)</f>
        <v>3.73</v>
      </c>
    </row>
    <row r="28" spans="2:34" x14ac:dyDescent="0.2">
      <c r="B28" s="126" t="s">
        <v>91</v>
      </c>
      <c r="C28" s="134">
        <v>-0.13</v>
      </c>
      <c r="D28" s="134">
        <v>-0.06</v>
      </c>
      <c r="E28" s="127">
        <v>0</v>
      </c>
      <c r="F28" s="134">
        <v>-0.15</v>
      </c>
      <c r="G28" s="134">
        <v>-0.22</v>
      </c>
      <c r="H28" s="127">
        <v>0.01</v>
      </c>
      <c r="I28" s="127">
        <v>0.01</v>
      </c>
      <c r="K28" s="130" t="s">
        <v>92</v>
      </c>
      <c r="L28" s="122"/>
      <c r="M28" s="122"/>
      <c r="N28" s="122"/>
      <c r="O28" s="122"/>
      <c r="P28" s="122"/>
      <c r="Q28" s="122"/>
      <c r="S28" s="126" t="s">
        <v>93</v>
      </c>
      <c r="T28" s="127"/>
      <c r="U28" s="127"/>
      <c r="V28" s="127"/>
      <c r="W28" s="127"/>
      <c r="X28" s="127"/>
      <c r="Y28" s="127"/>
      <c r="AA28" s="234" t="s">
        <v>94</v>
      </c>
      <c r="AB28" s="235">
        <v>2.99</v>
      </c>
      <c r="AC28" s="235">
        <v>1.62</v>
      </c>
      <c r="AD28" s="235">
        <v>1.26</v>
      </c>
      <c r="AE28" s="235">
        <v>1.27</v>
      </c>
      <c r="AF28" s="235">
        <v>2.21</v>
      </c>
    </row>
    <row r="29" spans="2:34" x14ac:dyDescent="0.2">
      <c r="B29" s="126" t="s">
        <v>95</v>
      </c>
      <c r="C29" s="134">
        <v>-7.0000000000000007E-2</v>
      </c>
      <c r="D29" s="134">
        <v>-0.03</v>
      </c>
      <c r="E29" s="134">
        <v>-0.04</v>
      </c>
      <c r="F29" s="127"/>
      <c r="G29" s="127"/>
      <c r="H29" s="127"/>
      <c r="I29" s="127"/>
      <c r="K29" s="126" t="s">
        <v>96</v>
      </c>
      <c r="L29" s="127">
        <v>46.9</v>
      </c>
      <c r="M29" s="127">
        <v>48.5</v>
      </c>
      <c r="N29" s="127">
        <v>48.7</v>
      </c>
      <c r="O29" s="127"/>
      <c r="P29" s="127"/>
      <c r="Q29" s="127"/>
      <c r="S29" s="126" t="s">
        <v>97</v>
      </c>
      <c r="T29" s="134">
        <v>-1.99</v>
      </c>
      <c r="U29" s="134">
        <v>-7.54</v>
      </c>
      <c r="V29" s="134">
        <v>0</v>
      </c>
      <c r="W29" s="127"/>
      <c r="X29" s="127"/>
      <c r="Y29" s="127"/>
      <c r="AA29" s="234" t="s">
        <v>98</v>
      </c>
      <c r="AB29" s="235">
        <v>2.2000000000000002</v>
      </c>
      <c r="AC29" s="235">
        <v>2.14</v>
      </c>
      <c r="AD29" s="235">
        <v>2.13</v>
      </c>
      <c r="AE29" s="235">
        <v>2.59</v>
      </c>
      <c r="AF29" s="235">
        <v>1.29</v>
      </c>
    </row>
    <row r="30" spans="2:34" x14ac:dyDescent="0.2">
      <c r="B30" s="135" t="s">
        <v>99</v>
      </c>
      <c r="C30" s="136">
        <v>25.34</v>
      </c>
      <c r="D30" s="136">
        <v>49.63</v>
      </c>
      <c r="E30" s="136">
        <v>97.12</v>
      </c>
      <c r="F30" s="136">
        <v>143.80000000000001</v>
      </c>
      <c r="G30" s="136">
        <v>113.82</v>
      </c>
      <c r="H30" s="136">
        <v>97.6</v>
      </c>
      <c r="I30" s="136">
        <v>90.2</v>
      </c>
      <c r="K30" s="126" t="s">
        <v>63</v>
      </c>
      <c r="L30" s="134">
        <v>-3.48</v>
      </c>
      <c r="M30" s="134">
        <v>-2.2999999999999998</v>
      </c>
      <c r="N30" s="134">
        <v>-1.92</v>
      </c>
      <c r="O30" s="134">
        <v>-0.6</v>
      </c>
      <c r="P30" s="127"/>
      <c r="Q30" s="127"/>
      <c r="S30" s="126" t="s">
        <v>100</v>
      </c>
      <c r="T30" s="127"/>
      <c r="U30" s="134">
        <v>-9.68</v>
      </c>
      <c r="V30" s="134">
        <v>-48.34</v>
      </c>
      <c r="W30" s="134">
        <v>-70.78</v>
      </c>
      <c r="X30" s="134">
        <v>-110.66</v>
      </c>
      <c r="Y30" s="134">
        <v>-46.26</v>
      </c>
      <c r="AA30" s="234" t="s">
        <v>101</v>
      </c>
      <c r="AB30" s="235">
        <v>0.2</v>
      </c>
      <c r="AC30" s="235">
        <v>5.27</v>
      </c>
      <c r="AD30" s="235">
        <v>40.39</v>
      </c>
      <c r="AE30" s="235">
        <v>28.75</v>
      </c>
      <c r="AF30" s="235">
        <v>62.37</v>
      </c>
    </row>
    <row r="31" spans="2:34" x14ac:dyDescent="0.2">
      <c r="B31" s="126" t="s">
        <v>102</v>
      </c>
      <c r="C31" s="134">
        <v>-4.82</v>
      </c>
      <c r="D31" s="134">
        <v>-9.5399999999999991</v>
      </c>
      <c r="E31" s="134">
        <v>-18.39</v>
      </c>
      <c r="F31" s="134">
        <v>-28.81</v>
      </c>
      <c r="G31" s="134">
        <v>-21.66</v>
      </c>
      <c r="H31" s="134">
        <v>-18.73</v>
      </c>
      <c r="I31" s="134">
        <v>-17.84</v>
      </c>
      <c r="K31" s="126" t="s">
        <v>18</v>
      </c>
      <c r="L31" s="421">
        <v>17.09</v>
      </c>
      <c r="M31" s="421">
        <v>21.93</v>
      </c>
      <c r="N31" s="421">
        <v>22.76</v>
      </c>
      <c r="O31" s="421">
        <v>22.65</v>
      </c>
      <c r="P31" s="421">
        <v>22</v>
      </c>
      <c r="Q31" s="143">
        <v>6.5000000000000002E-2</v>
      </c>
      <c r="S31" s="126" t="s">
        <v>103</v>
      </c>
      <c r="T31" s="127"/>
      <c r="U31" s="134">
        <v>-9.68</v>
      </c>
      <c r="V31" s="134">
        <v>-48.34</v>
      </c>
      <c r="W31" s="134">
        <v>-70.78</v>
      </c>
      <c r="X31" s="134">
        <v>-110.66</v>
      </c>
      <c r="Y31" s="134">
        <v>-46.26</v>
      </c>
      <c r="AA31" s="479" t="s">
        <v>104</v>
      </c>
      <c r="AB31" s="480">
        <v>19.71</v>
      </c>
      <c r="AC31" s="480">
        <v>23.92</v>
      </c>
      <c r="AD31" s="480">
        <v>60.23</v>
      </c>
      <c r="AE31" s="480">
        <v>55.91</v>
      </c>
      <c r="AF31" s="480">
        <v>105.35</v>
      </c>
    </row>
    <row r="32" spans="2:34" x14ac:dyDescent="0.2">
      <c r="B32" s="135" t="s">
        <v>105</v>
      </c>
      <c r="C32" s="136">
        <v>20.52</v>
      </c>
      <c r="D32" s="136">
        <v>40.090000000000003</v>
      </c>
      <c r="E32" s="136">
        <v>78.73</v>
      </c>
      <c r="F32" s="136">
        <v>114.99</v>
      </c>
      <c r="G32" s="136">
        <v>92.15</v>
      </c>
      <c r="H32" s="136">
        <v>78.86</v>
      </c>
      <c r="I32" s="136">
        <v>72.349999999999994</v>
      </c>
      <c r="K32" s="138" t="s">
        <v>17</v>
      </c>
      <c r="L32" s="139">
        <v>0.30199999999999999</v>
      </c>
      <c r="M32" s="139">
        <v>0.28299999999999997</v>
      </c>
      <c r="N32" s="139">
        <v>3.7999999999999999E-2</v>
      </c>
      <c r="O32" s="140">
        <v>-5.0000000000000001E-3</v>
      </c>
      <c r="P32" s="140">
        <v>-2.9000000000000001E-2</v>
      </c>
      <c r="Q32" s="122"/>
      <c r="S32" s="126" t="s">
        <v>106</v>
      </c>
      <c r="T32" s="134">
        <v>-1.3</v>
      </c>
      <c r="U32" s="134">
        <v>-0.73</v>
      </c>
      <c r="V32" s="134">
        <v>-0.26</v>
      </c>
      <c r="W32" s="134">
        <v>-0.03</v>
      </c>
      <c r="X32" s="134">
        <v>-0.04</v>
      </c>
      <c r="Y32" s="134">
        <v>-0.44</v>
      </c>
      <c r="AA32" s="481" t="s">
        <v>107</v>
      </c>
      <c r="AB32" s="482">
        <v>0.06</v>
      </c>
      <c r="AC32" s="482">
        <v>0.02</v>
      </c>
      <c r="AD32" s="482"/>
      <c r="AE32" s="482">
        <v>4.21</v>
      </c>
      <c r="AF32" s="482">
        <v>37.99</v>
      </c>
      <c r="AG32" s="483"/>
      <c r="AH32" s="484"/>
    </row>
    <row r="33" spans="2:36" x14ac:dyDescent="0.2">
      <c r="B33" s="135" t="s">
        <v>108</v>
      </c>
      <c r="C33" s="136">
        <v>20.52</v>
      </c>
      <c r="D33" s="136">
        <v>40.090000000000003</v>
      </c>
      <c r="E33" s="136">
        <v>78.73</v>
      </c>
      <c r="F33" s="136">
        <v>114.99</v>
      </c>
      <c r="G33" s="136">
        <v>92.15</v>
      </c>
      <c r="H33" s="136">
        <v>78.86</v>
      </c>
      <c r="I33" s="136">
        <v>72.349999999999994</v>
      </c>
      <c r="K33" s="126" t="s">
        <v>109</v>
      </c>
      <c r="L33" s="127">
        <v>19</v>
      </c>
      <c r="M33" s="127">
        <v>19</v>
      </c>
      <c r="N33" s="127">
        <v>19</v>
      </c>
      <c r="O33" s="127">
        <v>19</v>
      </c>
      <c r="P33" s="127">
        <v>19</v>
      </c>
      <c r="Q33" s="127"/>
      <c r="S33" s="135" t="s">
        <v>110</v>
      </c>
      <c r="T33" s="137">
        <v>-14.34</v>
      </c>
      <c r="U33" s="137">
        <v>-26.74</v>
      </c>
      <c r="V33" s="137">
        <v>-57.48</v>
      </c>
      <c r="W33" s="137">
        <v>-75.52</v>
      </c>
      <c r="X33" s="137">
        <v>-111.2</v>
      </c>
      <c r="Y33" s="137">
        <v>-49.65</v>
      </c>
      <c r="AA33" s="481" t="s">
        <v>111</v>
      </c>
      <c r="AB33" s="482">
        <v>1.21</v>
      </c>
      <c r="AC33" s="482">
        <v>1.58</v>
      </c>
      <c r="AD33" s="482">
        <v>1.64</v>
      </c>
      <c r="AE33" s="482">
        <v>16.329999999999998</v>
      </c>
      <c r="AF33" s="482">
        <v>56.15</v>
      </c>
      <c r="AG33" s="483"/>
      <c r="AH33" s="484">
        <f>AF33+AF32+AF37</f>
        <v>122.65</v>
      </c>
    </row>
    <row r="34" spans="2:36" x14ac:dyDescent="0.2">
      <c r="B34" s="126" t="s">
        <v>112</v>
      </c>
      <c r="C34" s="127"/>
      <c r="D34" s="127"/>
      <c r="E34" s="127"/>
      <c r="F34" s="127"/>
      <c r="G34" s="127"/>
      <c r="H34" s="127">
        <v>0</v>
      </c>
      <c r="I34" s="127">
        <v>0.1</v>
      </c>
      <c r="K34" s="126" t="s">
        <v>113</v>
      </c>
      <c r="L34" s="127">
        <v>101.93</v>
      </c>
      <c r="M34" s="127">
        <v>127.41</v>
      </c>
      <c r="N34" s="127">
        <v>153.61000000000001</v>
      </c>
      <c r="O34" s="127">
        <v>188.6</v>
      </c>
      <c r="P34" s="127"/>
      <c r="Q34" s="127"/>
      <c r="S34" s="135" t="s">
        <v>114</v>
      </c>
      <c r="T34" s="136">
        <v>12.12</v>
      </c>
      <c r="U34" s="136">
        <v>12.61</v>
      </c>
      <c r="V34" s="136">
        <v>21.92</v>
      </c>
      <c r="W34" s="136">
        <v>64.78</v>
      </c>
      <c r="X34" s="137">
        <v>-27.34</v>
      </c>
      <c r="Y34" s="137">
        <v>-68.63</v>
      </c>
      <c r="AA34" s="234" t="s">
        <v>115</v>
      </c>
      <c r="AB34" s="235">
        <v>19.190000000000001</v>
      </c>
      <c r="AC34" s="235">
        <v>16.93</v>
      </c>
      <c r="AD34" s="235">
        <v>14.69</v>
      </c>
      <c r="AE34" s="235">
        <v>6.85</v>
      </c>
      <c r="AF34" s="235">
        <v>5.8</v>
      </c>
    </row>
    <row r="35" spans="2:36" x14ac:dyDescent="0.2">
      <c r="B35" s="128" t="s">
        <v>14</v>
      </c>
      <c r="C35" s="129">
        <v>20.52</v>
      </c>
      <c r="D35" s="129">
        <v>40.090000000000003</v>
      </c>
      <c r="E35" s="129">
        <v>78.73</v>
      </c>
      <c r="F35" s="129">
        <v>114.99</v>
      </c>
      <c r="G35" s="129">
        <v>92.15</v>
      </c>
      <c r="H35" s="129">
        <v>78.86</v>
      </c>
      <c r="I35" s="129">
        <v>72.45</v>
      </c>
      <c r="K35" s="138" t="s">
        <v>17</v>
      </c>
      <c r="L35" s="139">
        <v>4.3999999999999997E-2</v>
      </c>
      <c r="M35" s="139">
        <v>0.25</v>
      </c>
      <c r="N35" s="139">
        <v>0.20599999999999999</v>
      </c>
      <c r="O35" s="139">
        <v>0.22800000000000001</v>
      </c>
      <c r="P35" s="141"/>
      <c r="Q35" s="122"/>
      <c r="S35" s="130" t="s">
        <v>116</v>
      </c>
      <c r="T35" s="122"/>
      <c r="U35" s="122"/>
      <c r="V35" s="122"/>
      <c r="W35" s="122"/>
      <c r="X35" s="122"/>
      <c r="Y35" s="122"/>
      <c r="AA35" s="234" t="s">
        <v>117</v>
      </c>
      <c r="AB35" s="235">
        <v>0.12</v>
      </c>
      <c r="AC35" s="235">
        <v>0.12</v>
      </c>
      <c r="AD35" s="235">
        <v>0.17</v>
      </c>
      <c r="AE35" s="235">
        <v>0.3</v>
      </c>
      <c r="AF35" s="235">
        <v>0.28999999999999998</v>
      </c>
    </row>
    <row r="36" spans="2:36" x14ac:dyDescent="0.2">
      <c r="B36" s="128" t="s">
        <v>118</v>
      </c>
      <c r="C36" s="129">
        <v>20.52</v>
      </c>
      <c r="D36" s="129">
        <v>40.090000000000003</v>
      </c>
      <c r="E36" s="129">
        <v>78.73</v>
      </c>
      <c r="F36" s="129">
        <v>114.99</v>
      </c>
      <c r="G36" s="129">
        <v>92.15</v>
      </c>
      <c r="H36" s="129">
        <v>78.86</v>
      </c>
      <c r="I36" s="129">
        <v>72.45</v>
      </c>
      <c r="K36" s="126" t="s">
        <v>119</v>
      </c>
      <c r="L36" s="127">
        <v>80.83</v>
      </c>
      <c r="M36" s="127">
        <v>102.63</v>
      </c>
      <c r="N36" s="127">
        <v>120.07</v>
      </c>
      <c r="O36" s="127">
        <v>136.35</v>
      </c>
      <c r="P36" s="127"/>
      <c r="Q36" s="127"/>
      <c r="S36" s="128" t="s">
        <v>74</v>
      </c>
      <c r="T36" s="129">
        <v>25.74</v>
      </c>
      <c r="U36" s="129">
        <v>39.18</v>
      </c>
      <c r="V36" s="129">
        <v>72.25</v>
      </c>
      <c r="W36" s="129">
        <v>134.9</v>
      </c>
      <c r="X36" s="129">
        <v>80.709999999999994</v>
      </c>
      <c r="Y36" s="129">
        <v>5.3</v>
      </c>
      <c r="AA36" s="234" t="s">
        <v>120</v>
      </c>
      <c r="AB36" s="235">
        <v>6.18</v>
      </c>
      <c r="AC36" s="235">
        <v>5.51</v>
      </c>
      <c r="AD36" s="235">
        <v>6.4</v>
      </c>
      <c r="AE36" s="235">
        <v>5.58</v>
      </c>
      <c r="AF36" s="235">
        <v>6.88</v>
      </c>
    </row>
    <row r="37" spans="2:36" x14ac:dyDescent="0.2">
      <c r="B37" s="130" t="s">
        <v>121</v>
      </c>
      <c r="C37" s="131">
        <v>0.221</v>
      </c>
      <c r="D37" s="131">
        <v>0.307</v>
      </c>
      <c r="E37" s="131">
        <v>0.441</v>
      </c>
      <c r="F37" s="131">
        <v>0.43</v>
      </c>
      <c r="G37" s="131">
        <v>0.379</v>
      </c>
      <c r="H37" s="131">
        <v>0.33300000000000002</v>
      </c>
      <c r="I37" s="131">
        <v>0.27100000000000002</v>
      </c>
      <c r="K37" s="138" t="s">
        <v>17</v>
      </c>
      <c r="L37" s="139">
        <v>2.5000000000000001E-2</v>
      </c>
      <c r="M37" s="139">
        <v>0.27</v>
      </c>
      <c r="N37" s="139">
        <v>0.17</v>
      </c>
      <c r="O37" s="139">
        <v>0.13600000000000001</v>
      </c>
      <c r="P37" s="141"/>
      <c r="Q37" s="122"/>
      <c r="S37" s="130" t="s">
        <v>17</v>
      </c>
      <c r="T37" s="131">
        <v>1.3260000000000001</v>
      </c>
      <c r="U37" s="131">
        <v>0.52200000000000002</v>
      </c>
      <c r="V37" s="131">
        <v>0.84399999999999997</v>
      </c>
      <c r="W37" s="131">
        <v>0.86699999999999999</v>
      </c>
      <c r="X37" s="132">
        <v>-0.40200000000000002</v>
      </c>
      <c r="Y37" s="132">
        <v>-0.93400000000000005</v>
      </c>
      <c r="AA37" s="234" t="s">
        <v>122</v>
      </c>
      <c r="AB37" s="235">
        <v>0.03</v>
      </c>
      <c r="AC37" s="235">
        <v>4.72</v>
      </c>
      <c r="AD37" s="235"/>
      <c r="AE37" s="235">
        <v>27.46</v>
      </c>
      <c r="AF37" s="235">
        <v>28.51</v>
      </c>
      <c r="AG37" s="23" t="s">
        <v>2436</v>
      </c>
    </row>
    <row r="38" spans="2:36" x14ac:dyDescent="0.2">
      <c r="B38" s="128" t="s">
        <v>123</v>
      </c>
      <c r="C38" s="129">
        <v>20.52</v>
      </c>
      <c r="D38" s="129">
        <v>40.090000000000003</v>
      </c>
      <c r="E38" s="129">
        <v>78.73</v>
      </c>
      <c r="F38" s="129">
        <v>114.99</v>
      </c>
      <c r="G38" s="129">
        <v>92.15</v>
      </c>
      <c r="H38" s="129">
        <v>78.86</v>
      </c>
      <c r="I38" s="129">
        <v>72.45</v>
      </c>
      <c r="K38" s="126" t="s">
        <v>124</v>
      </c>
      <c r="L38" s="127">
        <v>34.799999999999997</v>
      </c>
      <c r="M38" s="127">
        <v>33.799999999999997</v>
      </c>
      <c r="N38" s="127"/>
      <c r="O38" s="127"/>
      <c r="P38" s="127"/>
      <c r="Q38" s="127"/>
      <c r="S38" s="130" t="s">
        <v>81</v>
      </c>
      <c r="T38" s="131">
        <v>0.27800000000000002</v>
      </c>
      <c r="U38" s="131">
        <v>0.3</v>
      </c>
      <c r="V38" s="131">
        <v>0.40500000000000003</v>
      </c>
      <c r="W38" s="131">
        <v>0.505</v>
      </c>
      <c r="X38" s="131">
        <v>0.33200000000000002</v>
      </c>
      <c r="Y38" s="131">
        <v>2.1999999999999999E-2</v>
      </c>
      <c r="AA38" s="479" t="s">
        <v>125</v>
      </c>
      <c r="AB38" s="480">
        <v>46.5</v>
      </c>
      <c r="AC38" s="480">
        <v>52.79</v>
      </c>
      <c r="AD38" s="480">
        <v>83.13</v>
      </c>
      <c r="AE38" s="480">
        <v>116.65</v>
      </c>
      <c r="AF38" s="480">
        <v>240.96</v>
      </c>
      <c r="AH38" s="23">
        <f>AF38-AF33-AF31</f>
        <v>79.460000000000008</v>
      </c>
      <c r="AJ38" s="23">
        <v>81</v>
      </c>
    </row>
    <row r="39" spans="2:36" x14ac:dyDescent="0.2">
      <c r="B39" s="130" t="s">
        <v>126</v>
      </c>
      <c r="C39" s="131">
        <v>0.221</v>
      </c>
      <c r="D39" s="131">
        <v>0.307</v>
      </c>
      <c r="E39" s="131">
        <v>0.441</v>
      </c>
      <c r="F39" s="131">
        <v>0.43</v>
      </c>
      <c r="G39" s="131">
        <v>0.379</v>
      </c>
      <c r="H39" s="131">
        <v>0.33300000000000002</v>
      </c>
      <c r="I39" s="131">
        <v>0.27100000000000002</v>
      </c>
      <c r="K39" s="138" t="s">
        <v>17</v>
      </c>
      <c r="L39" s="141"/>
      <c r="M39" s="140">
        <v>-2.9000000000000001E-2</v>
      </c>
      <c r="N39" s="141"/>
      <c r="O39" s="141"/>
      <c r="P39" s="141"/>
      <c r="Q39" s="122"/>
      <c r="S39" s="126" t="s">
        <v>127</v>
      </c>
      <c r="T39" s="127">
        <v>2.68</v>
      </c>
      <c r="U39" s="127">
        <v>14.8</v>
      </c>
      <c r="V39" s="127">
        <v>27.42</v>
      </c>
      <c r="W39" s="127">
        <v>49.34</v>
      </c>
      <c r="X39" s="127">
        <v>114.13</v>
      </c>
      <c r="Y39" s="127">
        <v>86.79</v>
      </c>
      <c r="AA39" s="234" t="s">
        <v>128</v>
      </c>
      <c r="AB39" s="235">
        <v>35.130000000000003</v>
      </c>
      <c r="AC39" s="235">
        <v>35.130000000000003</v>
      </c>
      <c r="AD39" s="235">
        <v>35.130000000000003</v>
      </c>
      <c r="AE39" s="235">
        <v>35.130000000000003</v>
      </c>
      <c r="AF39" s="235">
        <v>35.130000000000003</v>
      </c>
    </row>
    <row r="40" spans="2:36" x14ac:dyDescent="0.2">
      <c r="B40" s="130" t="s">
        <v>116</v>
      </c>
      <c r="C40" s="122"/>
      <c r="D40" s="122"/>
      <c r="E40" s="122"/>
      <c r="F40" s="122"/>
      <c r="G40" s="122"/>
      <c r="H40" s="122"/>
      <c r="I40" s="122"/>
      <c r="K40" s="130" t="s">
        <v>129</v>
      </c>
      <c r="L40" s="122"/>
      <c r="M40" s="122"/>
      <c r="N40" s="122"/>
      <c r="O40" s="122"/>
      <c r="P40" s="122"/>
      <c r="Q40" s="122"/>
      <c r="S40" s="126" t="s">
        <v>130</v>
      </c>
      <c r="T40" s="127">
        <v>14.8</v>
      </c>
      <c r="U40" s="127">
        <v>27.42</v>
      </c>
      <c r="V40" s="127">
        <v>49.34</v>
      </c>
      <c r="W40" s="127">
        <v>114.13</v>
      </c>
      <c r="X40" s="127">
        <v>86.79</v>
      </c>
      <c r="Y40" s="127">
        <v>18.16</v>
      </c>
      <c r="AA40" s="234" t="s">
        <v>131</v>
      </c>
      <c r="AB40" s="235">
        <v>25.57</v>
      </c>
      <c r="AC40" s="235">
        <v>25.57</v>
      </c>
      <c r="AD40" s="235">
        <v>25.57</v>
      </c>
      <c r="AE40" s="235">
        <v>25.57</v>
      </c>
      <c r="AF40" s="235">
        <v>25.57</v>
      </c>
    </row>
    <row r="41" spans="2:36" x14ac:dyDescent="0.2">
      <c r="B41" s="126" t="s">
        <v>132</v>
      </c>
      <c r="C41" s="127">
        <v>5.68</v>
      </c>
      <c r="D41" s="127">
        <v>11.15</v>
      </c>
      <c r="E41" s="127">
        <v>22.12</v>
      </c>
      <c r="F41" s="127">
        <v>32.729999999999997</v>
      </c>
      <c r="G41" s="127">
        <v>26.23</v>
      </c>
      <c r="H41" s="127">
        <v>22.45</v>
      </c>
      <c r="I41" s="127">
        <v>20.62</v>
      </c>
      <c r="K41" s="126" t="s">
        <v>133</v>
      </c>
      <c r="L41" s="127">
        <v>114.51</v>
      </c>
      <c r="M41" s="127">
        <v>119.79</v>
      </c>
      <c r="N41" s="127">
        <v>142.1</v>
      </c>
      <c r="O41" s="127">
        <v>173.7</v>
      </c>
      <c r="P41" s="127"/>
      <c r="Q41" s="127"/>
      <c r="S41" s="126" t="s">
        <v>134</v>
      </c>
      <c r="T41" s="127">
        <v>1.3</v>
      </c>
      <c r="U41" s="127">
        <v>0.73</v>
      </c>
      <c r="V41" s="127">
        <v>0.26</v>
      </c>
      <c r="W41" s="127">
        <v>0.03</v>
      </c>
      <c r="X41" s="127">
        <v>0.04</v>
      </c>
      <c r="Y41" s="127">
        <v>0.44</v>
      </c>
      <c r="AA41" s="234" t="s">
        <v>135</v>
      </c>
      <c r="AB41" s="235">
        <v>100.88</v>
      </c>
      <c r="AC41" s="235">
        <v>145.08000000000001</v>
      </c>
      <c r="AD41" s="235">
        <v>126.58</v>
      </c>
      <c r="AE41" s="235">
        <v>159.18</v>
      </c>
      <c r="AF41" s="235">
        <v>168.06</v>
      </c>
    </row>
    <row r="42" spans="2:36" x14ac:dyDescent="0.2">
      <c r="B42" s="138" t="s">
        <v>17</v>
      </c>
      <c r="C42" s="139">
        <v>1.9770000000000001</v>
      </c>
      <c r="D42" s="139">
        <v>0.96299999999999997</v>
      </c>
      <c r="E42" s="139">
        <v>0.98299999999999998</v>
      </c>
      <c r="F42" s="139">
        <v>0.48</v>
      </c>
      <c r="G42" s="140">
        <v>-0.19900000000000001</v>
      </c>
      <c r="H42" s="140">
        <v>-0.14399999999999999</v>
      </c>
      <c r="I42" s="141"/>
      <c r="K42" s="138" t="s">
        <v>17</v>
      </c>
      <c r="L42" s="139">
        <v>0.68700000000000006</v>
      </c>
      <c r="M42" s="139">
        <v>4.5999999999999999E-2</v>
      </c>
      <c r="N42" s="139">
        <v>0.186</v>
      </c>
      <c r="O42" s="139">
        <v>0.222</v>
      </c>
      <c r="P42" s="141"/>
      <c r="Q42" s="122"/>
      <c r="S42" s="126" t="s">
        <v>136</v>
      </c>
      <c r="T42" s="127">
        <v>2.6</v>
      </c>
      <c r="U42" s="127">
        <v>8.18</v>
      </c>
      <c r="V42" s="127">
        <v>18.43</v>
      </c>
      <c r="W42" s="127">
        <v>29.48</v>
      </c>
      <c r="X42" s="127">
        <v>21.13</v>
      </c>
      <c r="Y42" s="127">
        <v>19.55</v>
      </c>
      <c r="AA42" s="234" t="s">
        <v>137</v>
      </c>
      <c r="AB42" s="235">
        <v>0.99</v>
      </c>
      <c r="AC42" s="235">
        <v>0.99</v>
      </c>
      <c r="AD42" s="235">
        <v>0.99</v>
      </c>
      <c r="AE42" s="235">
        <v>0.99</v>
      </c>
      <c r="AF42" s="235">
        <v>0.99</v>
      </c>
    </row>
    <row r="43" spans="2:36" x14ac:dyDescent="0.2">
      <c r="B43" s="126" t="s">
        <v>138</v>
      </c>
      <c r="C43" s="127">
        <v>3.61</v>
      </c>
      <c r="D43" s="127">
        <v>3.6</v>
      </c>
      <c r="E43" s="127">
        <v>3.56</v>
      </c>
      <c r="F43" s="127">
        <v>3.51</v>
      </c>
      <c r="G43" s="127">
        <v>3.51</v>
      </c>
      <c r="H43" s="127">
        <v>3.51</v>
      </c>
      <c r="I43" s="127">
        <v>3.51</v>
      </c>
      <c r="K43" s="126" t="s">
        <v>61</v>
      </c>
      <c r="L43" s="134">
        <v>-124.85</v>
      </c>
      <c r="M43" s="134">
        <v>-49.68</v>
      </c>
      <c r="N43" s="134">
        <v>-25.6</v>
      </c>
      <c r="O43" s="134">
        <v>-24</v>
      </c>
      <c r="P43" s="134">
        <v>-29.5</v>
      </c>
      <c r="Q43" s="148">
        <v>-0.30299999999999999</v>
      </c>
      <c r="S43" s="126" t="s">
        <v>139</v>
      </c>
      <c r="T43" s="127">
        <v>7.13</v>
      </c>
      <c r="U43" s="127">
        <v>10.9</v>
      </c>
      <c r="V43" s="127">
        <v>20.3</v>
      </c>
      <c r="W43" s="127">
        <v>38.4</v>
      </c>
      <c r="X43" s="127">
        <v>22.97</v>
      </c>
      <c r="Y43" s="127">
        <v>1.51</v>
      </c>
      <c r="AA43" s="236" t="s">
        <v>140</v>
      </c>
      <c r="AB43" s="237">
        <v>162.57</v>
      </c>
      <c r="AC43" s="237">
        <v>206.77</v>
      </c>
      <c r="AD43" s="237">
        <v>188.27</v>
      </c>
      <c r="AE43" s="237">
        <v>220.87</v>
      </c>
      <c r="AF43" s="237">
        <v>229.75</v>
      </c>
    </row>
    <row r="44" spans="2:36" x14ac:dyDescent="0.2">
      <c r="B44" s="138" t="s">
        <v>17</v>
      </c>
      <c r="C44" s="142"/>
      <c r="D44" s="140">
        <v>-4.0000000000000001E-3</v>
      </c>
      <c r="E44" s="140">
        <v>-0.01</v>
      </c>
      <c r="F44" s="140">
        <v>-1.2999999999999999E-2</v>
      </c>
      <c r="G44" s="142"/>
      <c r="H44" s="142"/>
      <c r="I44" s="141"/>
      <c r="K44" s="138" t="s">
        <v>17</v>
      </c>
      <c r="L44" s="139">
        <v>0.996</v>
      </c>
      <c r="M44" s="139">
        <v>0.60199999999999998</v>
      </c>
      <c r="N44" s="139">
        <v>0.48499999999999999</v>
      </c>
      <c r="O44" s="139">
        <v>6.3E-2</v>
      </c>
      <c r="P44" s="139">
        <v>0.22900000000000001</v>
      </c>
      <c r="Q44" s="122"/>
      <c r="AA44" s="234" t="s">
        <v>112</v>
      </c>
      <c r="AB44" s="235"/>
      <c r="AC44" s="235"/>
      <c r="AD44" s="235"/>
      <c r="AE44" s="235">
        <v>0.92</v>
      </c>
      <c r="AF44" s="235">
        <v>0.83</v>
      </c>
    </row>
    <row r="45" spans="2:36" x14ac:dyDescent="0.2">
      <c r="B45" s="126" t="s">
        <v>141</v>
      </c>
      <c r="C45" s="127">
        <v>3.61</v>
      </c>
      <c r="D45" s="127">
        <v>3.6</v>
      </c>
      <c r="E45" s="127">
        <v>3.56</v>
      </c>
      <c r="F45" s="127">
        <v>3.51</v>
      </c>
      <c r="G45" s="127">
        <v>3.51</v>
      </c>
      <c r="H45" s="127">
        <v>3.51</v>
      </c>
      <c r="I45" s="127">
        <v>3.51</v>
      </c>
      <c r="K45" s="130" t="s">
        <v>142</v>
      </c>
      <c r="L45" s="122"/>
      <c r="M45" s="122"/>
      <c r="N45" s="122"/>
      <c r="O45" s="122"/>
      <c r="P45" s="122"/>
      <c r="Q45" s="122"/>
      <c r="AA45" s="479" t="s">
        <v>143</v>
      </c>
      <c r="AB45" s="480">
        <v>162.57</v>
      </c>
      <c r="AC45" s="480">
        <v>206.77</v>
      </c>
      <c r="AD45" s="480">
        <v>188.27</v>
      </c>
      <c r="AE45" s="480">
        <v>221.79</v>
      </c>
      <c r="AF45" s="480">
        <v>230.57</v>
      </c>
    </row>
    <row r="46" spans="2:36" x14ac:dyDescent="0.2">
      <c r="B46" s="138" t="s">
        <v>17</v>
      </c>
      <c r="C46" s="142"/>
      <c r="D46" s="140">
        <v>-4.0000000000000001E-3</v>
      </c>
      <c r="E46" s="140">
        <v>-0.01</v>
      </c>
      <c r="F46" s="140">
        <v>-1.2999999999999999E-2</v>
      </c>
      <c r="G46" s="142"/>
      <c r="H46" s="142"/>
      <c r="I46" s="141"/>
      <c r="K46" s="126" t="s">
        <v>144</v>
      </c>
      <c r="L46" s="127">
        <v>83.5</v>
      </c>
      <c r="M46" s="127">
        <v>62.05</v>
      </c>
      <c r="N46" s="127">
        <v>55</v>
      </c>
      <c r="O46" s="127"/>
      <c r="P46" s="127"/>
      <c r="Q46" s="127"/>
      <c r="AA46" s="236" t="s">
        <v>145</v>
      </c>
      <c r="AB46" s="237">
        <v>209.07</v>
      </c>
      <c r="AC46" s="237">
        <v>259.56</v>
      </c>
      <c r="AD46" s="237">
        <v>271.39</v>
      </c>
      <c r="AE46" s="237">
        <v>338.44</v>
      </c>
      <c r="AF46" s="237">
        <v>471.53</v>
      </c>
    </row>
    <row r="47" spans="2:36" x14ac:dyDescent="0.2">
      <c r="B47" s="126" t="s">
        <v>146</v>
      </c>
      <c r="C47" s="127">
        <v>2.71</v>
      </c>
      <c r="D47" s="127">
        <v>10.25</v>
      </c>
      <c r="E47" s="127">
        <v>20.149999999999999</v>
      </c>
      <c r="F47" s="127">
        <v>31.5</v>
      </c>
      <c r="G47" s="127">
        <v>13.17</v>
      </c>
      <c r="H47" s="127">
        <v>13.17</v>
      </c>
      <c r="I47" s="127">
        <v>13.17</v>
      </c>
      <c r="K47" s="138" t="s">
        <v>147</v>
      </c>
      <c r="L47" s="141">
        <v>0.66</v>
      </c>
      <c r="M47" s="141">
        <v>0.4</v>
      </c>
      <c r="N47" s="141">
        <v>0.28999999999999998</v>
      </c>
      <c r="O47" s="141"/>
      <c r="P47" s="141"/>
      <c r="Q47" s="141"/>
      <c r="AA47" s="239" t="s">
        <v>116</v>
      </c>
      <c r="AB47" s="122"/>
      <c r="AC47" s="122"/>
      <c r="AD47" s="122"/>
      <c r="AE47" s="122"/>
      <c r="AF47" s="122"/>
    </row>
    <row r="48" spans="2:36" x14ac:dyDescent="0.2">
      <c r="B48" s="138" t="s">
        <v>17</v>
      </c>
      <c r="C48" s="141"/>
      <c r="D48" s="139">
        <v>2.782</v>
      </c>
      <c r="E48" s="139">
        <v>0.96599999999999997</v>
      </c>
      <c r="F48" s="139">
        <v>0.56299999999999994</v>
      </c>
      <c r="G48" s="140">
        <v>-0.58199999999999996</v>
      </c>
      <c r="H48" s="142"/>
      <c r="I48" s="141"/>
      <c r="K48" s="126" t="s">
        <v>148</v>
      </c>
      <c r="L48" s="127">
        <v>72.87</v>
      </c>
      <c r="M48" s="127">
        <v>82.34</v>
      </c>
      <c r="N48" s="127">
        <v>92.14</v>
      </c>
      <c r="O48" s="127"/>
      <c r="P48" s="127"/>
      <c r="Q48" s="127"/>
      <c r="AA48" s="234" t="s">
        <v>149</v>
      </c>
      <c r="AB48" s="235"/>
      <c r="AC48" s="235"/>
      <c r="AD48" s="235"/>
      <c r="AE48" s="235"/>
      <c r="AF48" s="235">
        <v>3.51</v>
      </c>
    </row>
    <row r="49" spans="2:32" x14ac:dyDescent="0.2">
      <c r="B49" s="126" t="s">
        <v>150</v>
      </c>
      <c r="C49" s="127"/>
      <c r="D49" s="127">
        <v>3.51</v>
      </c>
      <c r="E49" s="127"/>
      <c r="F49" s="127"/>
      <c r="G49" s="127"/>
      <c r="H49" s="127"/>
      <c r="I49" s="127"/>
      <c r="K49" s="138" t="s">
        <v>17</v>
      </c>
      <c r="L49" s="139">
        <v>0.159</v>
      </c>
      <c r="M49" s="139">
        <v>0.13</v>
      </c>
      <c r="N49" s="139">
        <v>0.11899999999999999</v>
      </c>
      <c r="O49" s="141"/>
      <c r="P49" s="141"/>
      <c r="Q49" s="122"/>
      <c r="AA49" s="234" t="s">
        <v>148</v>
      </c>
      <c r="AB49" s="235">
        <v>46.28</v>
      </c>
      <c r="AC49" s="235">
        <v>58.86</v>
      </c>
      <c r="AD49" s="235">
        <v>53.59</v>
      </c>
      <c r="AE49" s="235">
        <v>62.87</v>
      </c>
      <c r="AF49" s="235">
        <v>65.400000000000006</v>
      </c>
    </row>
    <row r="50" spans="2:32" x14ac:dyDescent="0.2">
      <c r="B50" s="126" t="s">
        <v>151</v>
      </c>
      <c r="C50" s="127"/>
      <c r="D50" s="143">
        <v>0.24199999999999999</v>
      </c>
      <c r="E50" s="143">
        <v>0.61399999999999999</v>
      </c>
      <c r="F50" s="143">
        <v>0.61599999999999999</v>
      </c>
      <c r="G50" s="143">
        <v>1.2010000000000001</v>
      </c>
      <c r="H50" s="143">
        <v>0.58699999999999997</v>
      </c>
      <c r="I50" s="127"/>
      <c r="K50" s="126" t="s">
        <v>152</v>
      </c>
      <c r="L50" s="127">
        <v>34.4</v>
      </c>
      <c r="M50" s="127">
        <v>37.1</v>
      </c>
      <c r="N50" s="127">
        <v>36.4</v>
      </c>
      <c r="O50" s="127"/>
      <c r="P50" s="127"/>
      <c r="Q50" s="127"/>
      <c r="AA50" s="234" t="s">
        <v>153</v>
      </c>
      <c r="AB50" s="235">
        <v>161.1</v>
      </c>
      <c r="AC50" s="235">
        <v>205.33</v>
      </c>
      <c r="AD50" s="235">
        <v>186.83</v>
      </c>
      <c r="AE50" s="235">
        <v>178.92</v>
      </c>
      <c r="AF50" s="235">
        <v>186.85</v>
      </c>
    </row>
    <row r="51" spans="2:32" x14ac:dyDescent="0.2">
      <c r="B51" s="126" t="s">
        <v>154</v>
      </c>
      <c r="C51" s="127">
        <v>5.68</v>
      </c>
      <c r="D51" s="127">
        <v>11.15</v>
      </c>
      <c r="E51" s="127">
        <v>22.12</v>
      </c>
      <c r="F51" s="127">
        <v>32.729999999999997</v>
      </c>
      <c r="G51" s="127">
        <v>26.23</v>
      </c>
      <c r="H51" s="127">
        <v>22.45</v>
      </c>
      <c r="I51" s="127">
        <v>20.62</v>
      </c>
      <c r="K51" s="126" t="s">
        <v>155</v>
      </c>
      <c r="L51" s="127">
        <v>24.5</v>
      </c>
      <c r="M51" s="127">
        <v>24.5</v>
      </c>
      <c r="N51" s="127">
        <v>26.2</v>
      </c>
      <c r="O51" s="127"/>
      <c r="P51" s="127"/>
      <c r="Q51" s="127"/>
      <c r="AA51" s="234" t="s">
        <v>156</v>
      </c>
      <c r="AB51" s="235">
        <v>45.86</v>
      </c>
      <c r="AC51" s="235">
        <v>58.45</v>
      </c>
      <c r="AD51" s="235">
        <v>53.18</v>
      </c>
      <c r="AE51" s="235">
        <v>50.93</v>
      </c>
      <c r="AF51" s="235">
        <v>53.19</v>
      </c>
    </row>
    <row r="52" spans="2:32" x14ac:dyDescent="0.2">
      <c r="B52" s="126" t="s">
        <v>20</v>
      </c>
      <c r="C52" s="127">
        <v>34.799999999999997</v>
      </c>
      <c r="D52" s="127">
        <v>59.38</v>
      </c>
      <c r="E52" s="127">
        <v>103.57</v>
      </c>
      <c r="F52" s="127">
        <v>153.56</v>
      </c>
      <c r="G52" s="127">
        <v>119.11</v>
      </c>
      <c r="H52" s="127">
        <v>115.88</v>
      </c>
      <c r="I52" s="127">
        <v>113.12</v>
      </c>
      <c r="K52" s="122"/>
      <c r="L52" s="122"/>
      <c r="M52" s="122"/>
      <c r="N52" s="122"/>
      <c r="O52" s="122"/>
      <c r="P52" s="122"/>
      <c r="Q52" s="122"/>
      <c r="AA52" s="234" t="s">
        <v>157</v>
      </c>
      <c r="AB52" s="235">
        <v>5.78</v>
      </c>
      <c r="AC52" s="235">
        <v>2</v>
      </c>
      <c r="AD52" s="235">
        <v>1.97</v>
      </c>
      <c r="AE52" s="235">
        <v>26.82</v>
      </c>
      <c r="AF52" s="235">
        <v>114.85</v>
      </c>
    </row>
    <row r="53" spans="2:32" x14ac:dyDescent="0.2">
      <c r="B53" s="138" t="s">
        <v>17</v>
      </c>
      <c r="C53" s="139">
        <v>0.82499999999999996</v>
      </c>
      <c r="D53" s="139">
        <v>0.70599999999999996</v>
      </c>
      <c r="E53" s="139">
        <v>0.74399999999999999</v>
      </c>
      <c r="F53" s="139">
        <v>0.48299999999999998</v>
      </c>
      <c r="G53" s="140">
        <v>-0.224</v>
      </c>
      <c r="H53" s="140">
        <v>-2.7E-2</v>
      </c>
      <c r="I53" s="141"/>
      <c r="K53" s="130" t="s">
        <v>158</v>
      </c>
      <c r="L53" s="122"/>
      <c r="M53" s="122"/>
      <c r="N53" s="122"/>
      <c r="O53" s="122"/>
      <c r="P53" s="122"/>
      <c r="Q53" s="122"/>
      <c r="AA53" s="234" t="s">
        <v>144</v>
      </c>
      <c r="AB53" s="238">
        <v>-48.56</v>
      </c>
      <c r="AC53" s="238">
        <v>-112.13</v>
      </c>
      <c r="AD53" s="238">
        <v>-84.82</v>
      </c>
      <c r="AE53" s="235">
        <v>8.66</v>
      </c>
      <c r="AF53" s="235">
        <v>59.98</v>
      </c>
    </row>
    <row r="54" spans="2:32" x14ac:dyDescent="0.2">
      <c r="B54" s="126" t="s">
        <v>159</v>
      </c>
      <c r="C54" s="127"/>
      <c r="D54" s="127"/>
      <c r="E54" s="127"/>
      <c r="F54" s="127"/>
      <c r="G54" s="127">
        <v>0.79</v>
      </c>
      <c r="H54" s="127">
        <v>0.89</v>
      </c>
      <c r="I54" s="127">
        <v>0.89</v>
      </c>
      <c r="K54" s="126" t="s">
        <v>160</v>
      </c>
      <c r="L54" s="127"/>
      <c r="M54" s="127"/>
      <c r="N54" s="127"/>
      <c r="O54" s="127"/>
      <c r="P54" s="127"/>
      <c r="Q54" s="122"/>
      <c r="AA54" s="234" t="s">
        <v>161</v>
      </c>
      <c r="AB54" s="235"/>
      <c r="AC54" s="235"/>
      <c r="AD54" s="235"/>
      <c r="AE54" s="235">
        <v>0.92</v>
      </c>
      <c r="AF54" s="235">
        <v>0.83</v>
      </c>
    </row>
    <row r="55" spans="2:32" x14ac:dyDescent="0.2">
      <c r="B55" s="126" t="s">
        <v>162</v>
      </c>
      <c r="C55" s="127">
        <v>1.71</v>
      </c>
      <c r="D55" s="127">
        <v>1.96</v>
      </c>
      <c r="E55" s="127">
        <v>1.82</v>
      </c>
      <c r="F55" s="127">
        <v>2.13</v>
      </c>
      <c r="G55" s="127">
        <v>2.46</v>
      </c>
      <c r="H55" s="127">
        <v>4.3099999999999996</v>
      </c>
      <c r="I55" s="127">
        <v>5.54</v>
      </c>
      <c r="K55" s="126" t="s">
        <v>163</v>
      </c>
      <c r="L55" s="127"/>
      <c r="M55" s="127"/>
      <c r="N55" s="127"/>
      <c r="O55" s="127"/>
      <c r="P55" s="127"/>
      <c r="Q55" s="122"/>
      <c r="AA55" s="234" t="s">
        <v>164</v>
      </c>
      <c r="AB55" s="235">
        <v>8.1300000000000008</v>
      </c>
      <c r="AC55" s="235">
        <v>9.0500000000000007</v>
      </c>
      <c r="AD55" s="235">
        <v>9.5</v>
      </c>
      <c r="AE55" s="235">
        <v>15.38</v>
      </c>
      <c r="AF55" s="235"/>
    </row>
    <row r="56" spans="2:32" x14ac:dyDescent="0.2">
      <c r="B56" s="126" t="s">
        <v>165</v>
      </c>
      <c r="C56" s="127">
        <v>4.58</v>
      </c>
      <c r="D56" s="127">
        <v>6.38</v>
      </c>
      <c r="E56" s="127">
        <v>6.98</v>
      </c>
      <c r="F56" s="127">
        <v>6.71</v>
      </c>
      <c r="G56" s="127">
        <v>7.66</v>
      </c>
      <c r="H56" s="127">
        <v>13.32</v>
      </c>
      <c r="I56" s="127">
        <v>16.309999999999999</v>
      </c>
      <c r="K56" s="126" t="s">
        <v>166</v>
      </c>
      <c r="L56" s="127"/>
      <c r="M56" s="127"/>
      <c r="N56" s="127"/>
      <c r="O56" s="127"/>
      <c r="P56" s="127"/>
      <c r="Q56" s="122"/>
      <c r="AA56" s="234" t="s">
        <v>167</v>
      </c>
      <c r="AB56" s="235">
        <v>69.8</v>
      </c>
      <c r="AC56" s="235">
        <v>55.77</v>
      </c>
      <c r="AD56" s="235">
        <v>55.77</v>
      </c>
      <c r="AE56" s="235">
        <v>75.17</v>
      </c>
      <c r="AF56" s="235"/>
    </row>
    <row r="57" spans="2:32" x14ac:dyDescent="0.2">
      <c r="B57" s="126" t="s">
        <v>168</v>
      </c>
      <c r="C57" s="143">
        <v>0.19</v>
      </c>
      <c r="D57" s="143">
        <v>0.192</v>
      </c>
      <c r="E57" s="143">
        <v>0.189</v>
      </c>
      <c r="F57" s="143">
        <v>0.2</v>
      </c>
      <c r="G57" s="143">
        <v>0.19</v>
      </c>
      <c r="H57" s="143">
        <v>0.192</v>
      </c>
      <c r="I57" s="143">
        <v>0.19800000000000001</v>
      </c>
      <c r="AA57" s="234" t="s">
        <v>169</v>
      </c>
      <c r="AB57" s="235">
        <v>0.37</v>
      </c>
      <c r="AC57" s="235">
        <v>0.46</v>
      </c>
      <c r="AD57" s="235">
        <v>29.61</v>
      </c>
      <c r="AE57" s="235">
        <v>76.12</v>
      </c>
      <c r="AF57" s="235"/>
    </row>
    <row r="58" spans="2:32" x14ac:dyDescent="0.2">
      <c r="B58" s="130" t="s">
        <v>170</v>
      </c>
      <c r="C58" s="122"/>
      <c r="D58" s="122"/>
      <c r="E58" s="122"/>
      <c r="F58" s="122"/>
      <c r="G58" s="122"/>
      <c r="H58" s="122"/>
      <c r="I58" s="122"/>
      <c r="AA58" s="234" t="s">
        <v>171</v>
      </c>
      <c r="AB58" s="235">
        <v>228</v>
      </c>
      <c r="AC58" s="235">
        <v>219</v>
      </c>
      <c r="AD58" s="235">
        <v>215</v>
      </c>
      <c r="AE58" s="235">
        <v>245</v>
      </c>
      <c r="AF58" s="235"/>
    </row>
    <row r="59" spans="2:32" x14ac:dyDescent="0.2">
      <c r="B59" s="126" t="s">
        <v>160</v>
      </c>
      <c r="C59" s="127">
        <v>156.01</v>
      </c>
      <c r="D59" s="127">
        <v>371.58</v>
      </c>
      <c r="E59" s="127">
        <v>807.96</v>
      </c>
      <c r="F59" s="144">
        <v>1352.46</v>
      </c>
      <c r="G59" s="144">
        <v>1046.8399999999999</v>
      </c>
      <c r="H59" s="144">
        <v>1162.76</v>
      </c>
      <c r="I59" s="127"/>
    </row>
    <row r="60" spans="2:32" x14ac:dyDescent="0.2">
      <c r="B60" s="126" t="s">
        <v>163</v>
      </c>
      <c r="C60" s="127" t="s">
        <v>172</v>
      </c>
      <c r="D60" s="127" t="s">
        <v>173</v>
      </c>
      <c r="E60" s="127" t="s">
        <v>174</v>
      </c>
      <c r="F60" s="127" t="s">
        <v>175</v>
      </c>
      <c r="G60" s="127" t="s">
        <v>176</v>
      </c>
      <c r="H60" s="127" t="s">
        <v>177</v>
      </c>
      <c r="I60" s="127"/>
    </row>
    <row r="61" spans="2:32" x14ac:dyDescent="0.2">
      <c r="B61" s="126" t="s">
        <v>166</v>
      </c>
      <c r="C61" s="127">
        <v>173.74</v>
      </c>
      <c r="D61" s="127">
        <v>368.45</v>
      </c>
      <c r="E61" s="127">
        <v>791.05</v>
      </c>
      <c r="F61" s="144">
        <v>1281.4100000000001</v>
      </c>
      <c r="G61" s="127">
        <v>979</v>
      </c>
      <c r="H61" s="144">
        <v>1107.51</v>
      </c>
      <c r="I61" s="127"/>
    </row>
    <row r="65" spans="2:10" x14ac:dyDescent="0.2">
      <c r="C65">
        <v>2018</v>
      </c>
      <c r="D65">
        <v>2019</v>
      </c>
      <c r="E65">
        <v>2020</v>
      </c>
      <c r="F65">
        <v>2021</v>
      </c>
      <c r="G65">
        <v>2022</v>
      </c>
      <c r="H65">
        <v>2023</v>
      </c>
      <c r="I65" s="21" t="s">
        <v>178</v>
      </c>
      <c r="J65" t="s">
        <v>179</v>
      </c>
    </row>
    <row r="66" spans="2:10" x14ac:dyDescent="0.2">
      <c r="B66" t="s">
        <v>20</v>
      </c>
      <c r="C66">
        <f>C52</f>
        <v>34.799999999999997</v>
      </c>
      <c r="D66">
        <f t="shared" ref="D66:H66" si="0">D52</f>
        <v>59.38</v>
      </c>
      <c r="E66">
        <f t="shared" si="0"/>
        <v>103.57</v>
      </c>
      <c r="F66">
        <f t="shared" si="0"/>
        <v>153.56</v>
      </c>
      <c r="G66">
        <f t="shared" si="0"/>
        <v>119.11</v>
      </c>
      <c r="H66">
        <f t="shared" si="0"/>
        <v>115.88</v>
      </c>
      <c r="I66">
        <f>L7</f>
        <v>126.13</v>
      </c>
    </row>
    <row r="67" spans="2:10" x14ac:dyDescent="0.2">
      <c r="B67" t="s">
        <v>180</v>
      </c>
      <c r="C67">
        <f>T36</f>
        <v>25.74</v>
      </c>
      <c r="D67">
        <f t="shared" ref="D67:H67" si="1">U36</f>
        <v>39.18</v>
      </c>
      <c r="E67">
        <f t="shared" si="1"/>
        <v>72.25</v>
      </c>
      <c r="F67">
        <f t="shared" si="1"/>
        <v>134.9</v>
      </c>
      <c r="G67">
        <f t="shared" si="1"/>
        <v>80.709999999999994</v>
      </c>
      <c r="H67">
        <f t="shared" si="1"/>
        <v>5.3</v>
      </c>
      <c r="I67">
        <f>L23</f>
        <v>-2</v>
      </c>
    </row>
    <row r="68" spans="2:10" x14ac:dyDescent="0.2">
      <c r="B68" t="s">
        <v>181</v>
      </c>
      <c r="C68" s="110">
        <f>C67/C66</f>
        <v>0.73965517241379308</v>
      </c>
      <c r="D68" s="110">
        <f t="shared" ref="D68:H68" si="2">D67/D66</f>
        <v>0.65981812057931966</v>
      </c>
      <c r="E68" s="110">
        <f t="shared" si="2"/>
        <v>0.69759582890798499</v>
      </c>
      <c r="F68" s="110">
        <f t="shared" si="2"/>
        <v>0.87848398020317797</v>
      </c>
      <c r="G68" s="110">
        <f t="shared" si="2"/>
        <v>0.67760893291915036</v>
      </c>
      <c r="H68" s="110">
        <f t="shared" si="2"/>
        <v>4.5736969278564035E-2</v>
      </c>
      <c r="I68" s="110">
        <f>I67/I66</f>
        <v>-1.5856655831285184E-2</v>
      </c>
    </row>
    <row r="69" spans="2:10" x14ac:dyDescent="0.2">
      <c r="B69" t="s">
        <v>182</v>
      </c>
      <c r="C69" s="121">
        <f>AVERAGE(C68:G68)</f>
        <v>0.73063240700468524</v>
      </c>
    </row>
    <row r="74" spans="2:10" x14ac:dyDescent="0.2">
      <c r="J74" s="121"/>
    </row>
    <row r="76" spans="2:10" x14ac:dyDescent="0.2">
      <c r="B76" t="s">
        <v>20</v>
      </c>
      <c r="C76" s="24" t="e">
        <f>#REF!+#REF!</f>
        <v>#REF!</v>
      </c>
    </row>
    <row r="77" spans="2:10" x14ac:dyDescent="0.2">
      <c r="B77" t="s">
        <v>183</v>
      </c>
      <c r="C77" s="110">
        <f>' WACC &amp; Unlevered CoC'!D34</f>
        <v>0.10427011282648897</v>
      </c>
    </row>
    <row r="78" spans="2:10" ht="16" x14ac:dyDescent="0.2">
      <c r="B78" s="150" t="s">
        <v>184</v>
      </c>
      <c r="C78" s="118" t="e">
        <f>#REF!</f>
        <v>#REF!</v>
      </c>
    </row>
    <row r="79" spans="2:10" x14ac:dyDescent="0.2">
      <c r="B79" t="s">
        <v>185</v>
      </c>
      <c r="C79" s="121">
        <f>C69</f>
        <v>0.73063240700468524</v>
      </c>
    </row>
    <row r="81" spans="2:3" x14ac:dyDescent="0.2">
      <c r="B81" t="s">
        <v>186</v>
      </c>
      <c r="C81" s="151" t="e">
        <f>(C76*C79)/(C77-C78)</f>
        <v>#REF!</v>
      </c>
    </row>
    <row r="83" spans="2:3" x14ac:dyDescent="0.2">
      <c r="B83" t="s">
        <v>187</v>
      </c>
      <c r="C83">
        <v>2</v>
      </c>
    </row>
    <row r="84" spans="2:3" x14ac:dyDescent="0.2">
      <c r="B84" t="s">
        <v>188</v>
      </c>
      <c r="C84" s="118">
        <v>7.0000000000000007E-2</v>
      </c>
    </row>
    <row r="85" spans="2:3" x14ac:dyDescent="0.2">
      <c r="B85" t="s">
        <v>189</v>
      </c>
      <c r="C85" s="4" t="e">
        <f>(C77-C78)/(C83*C79*C84)</f>
        <v>#REF!</v>
      </c>
    </row>
    <row r="86" spans="2:3" x14ac:dyDescent="0.2">
      <c r="C86" s="4"/>
    </row>
    <row r="87" spans="2:3" x14ac:dyDescent="0.2">
      <c r="B87" t="s">
        <v>190</v>
      </c>
      <c r="C87" s="6">
        <f>'Main LBO'!L19</f>
        <v>1508.6892826275</v>
      </c>
    </row>
    <row r="88" spans="2:3" x14ac:dyDescent="0.2">
      <c r="B88" t="s">
        <v>191</v>
      </c>
      <c r="C88" s="6" t="e">
        <f>C87*C85</f>
        <v>#REF!</v>
      </c>
    </row>
  </sheetData>
  <mergeCells count="3">
    <mergeCell ref="B2:I2"/>
    <mergeCell ref="K2:Q2"/>
    <mergeCell ref="S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4C05-422F-7047-A4A8-73AC1C7D1A81}">
  <dimension ref="B1:M58"/>
  <sheetViews>
    <sheetView showGridLines="0" topLeftCell="A29" zoomScale="109" zoomScaleNormal="313" workbookViewId="0">
      <selection activeCell="D41" sqref="D41"/>
    </sheetView>
  </sheetViews>
  <sheetFormatPr baseColWidth="10" defaultColWidth="11.5" defaultRowHeight="15" x14ac:dyDescent="0.2"/>
  <cols>
    <col min="1" max="1" width="7" customWidth="1"/>
    <col min="2" max="2" width="24.5" customWidth="1"/>
    <col min="3" max="3" width="13" customWidth="1"/>
    <col min="4" max="4" width="10.83203125" customWidth="1"/>
    <col min="9" max="9" width="11.5" customWidth="1"/>
  </cols>
  <sheetData>
    <row r="1" spans="2:11" x14ac:dyDescent="0.2">
      <c r="B1" s="27" t="s">
        <v>192</v>
      </c>
      <c r="C1" s="20" t="s">
        <v>193</v>
      </c>
      <c r="D1" s="28"/>
      <c r="E1" s="353" t="s">
        <v>194</v>
      </c>
      <c r="F1" s="20"/>
      <c r="G1" s="19"/>
      <c r="H1" s="19"/>
      <c r="I1" s="19"/>
      <c r="J1" s="473"/>
    </row>
    <row r="2" spans="2:11" x14ac:dyDescent="0.2">
      <c r="E2">
        <v>1</v>
      </c>
      <c r="F2">
        <v>2</v>
      </c>
      <c r="G2">
        <v>3</v>
      </c>
      <c r="H2">
        <v>4</v>
      </c>
      <c r="I2">
        <v>5</v>
      </c>
      <c r="J2" s="473"/>
    </row>
    <row r="3" spans="2:11" x14ac:dyDescent="0.2">
      <c r="B3" s="30"/>
      <c r="C3" s="30"/>
      <c r="D3" s="429" t="s">
        <v>195</v>
      </c>
      <c r="E3" s="33" t="s">
        <v>179</v>
      </c>
      <c r="F3" s="33" t="s">
        <v>196</v>
      </c>
      <c r="G3" s="33" t="s">
        <v>197</v>
      </c>
      <c r="H3" s="33" t="s">
        <v>198</v>
      </c>
      <c r="I3" s="33" t="s">
        <v>199</v>
      </c>
      <c r="J3" s="474" t="s">
        <v>200</v>
      </c>
    </row>
    <row r="4" spans="2:11" x14ac:dyDescent="0.2">
      <c r="J4" s="473"/>
    </row>
    <row r="5" spans="2:11" x14ac:dyDescent="0.2">
      <c r="B5" s="2" t="s">
        <v>201</v>
      </c>
      <c r="D5" s="425">
        <f>'Main LBO'!G62</f>
        <v>288</v>
      </c>
      <c r="E5" s="367">
        <f>'Main LBO'!H62</f>
        <v>351.64800000000002</v>
      </c>
      <c r="F5" s="367">
        <f>'Main LBO'!I62</f>
        <v>393.14246399999996</v>
      </c>
      <c r="G5" s="367">
        <f>'Main LBO'!J62</f>
        <v>436.78127750399995</v>
      </c>
      <c r="H5" s="367">
        <f>'Main LBO'!K62</f>
        <v>482.20653036441598</v>
      </c>
      <c r="I5" s="367">
        <f>'Main LBO'!L62</f>
        <v>532.83821605267963</v>
      </c>
      <c r="J5" s="475"/>
    </row>
    <row r="6" spans="2:11" x14ac:dyDescent="0.2">
      <c r="B6" s="2" t="s">
        <v>202</v>
      </c>
      <c r="D6" s="426"/>
      <c r="E6" s="357">
        <f>(E5-D5)/D5</f>
        <v>0.22100000000000009</v>
      </c>
      <c r="F6" s="357">
        <f>(F5-E5)/E5</f>
        <v>0.11799999999999981</v>
      </c>
      <c r="G6" s="357">
        <v>0.06</v>
      </c>
      <c r="H6" s="357">
        <v>0.06</v>
      </c>
      <c r="I6" s="357">
        <v>0.06</v>
      </c>
      <c r="J6" s="476">
        <f>AVERAGE(E6:I6)</f>
        <v>0.10379999999999998</v>
      </c>
    </row>
    <row r="7" spans="2:11" x14ac:dyDescent="0.2">
      <c r="B7" s="2"/>
      <c r="D7" s="427"/>
      <c r="E7" s="1"/>
      <c r="F7" s="1"/>
      <c r="G7" s="1"/>
      <c r="H7" s="1"/>
      <c r="I7" s="1"/>
      <c r="J7" s="474"/>
    </row>
    <row r="8" spans="2:11" x14ac:dyDescent="0.2">
      <c r="B8" s="2" t="s">
        <v>203</v>
      </c>
      <c r="D8" s="425">
        <f>'Main LBO'!G74</f>
        <v>114.52</v>
      </c>
      <c r="E8" s="367">
        <f>'Main LBO'!H74</f>
        <v>139.76762130477681</v>
      </c>
      <c r="F8" s="367">
        <f>'Main LBO'!I74</f>
        <v>162.55048004274045</v>
      </c>
      <c r="G8" s="367">
        <f>'Main LBO'!J74</f>
        <v>181.46714588249262</v>
      </c>
      <c r="H8" s="367">
        <f>'Main LBO'!K74</f>
        <v>200.33972905427186</v>
      </c>
      <c r="I8" s="367">
        <f>'Main LBO'!L74</f>
        <v>221.37540060497042</v>
      </c>
      <c r="J8" s="474"/>
    </row>
    <row r="9" spans="2:11" x14ac:dyDescent="0.2">
      <c r="B9" s="2" t="s">
        <v>204</v>
      </c>
      <c r="D9" s="428"/>
      <c r="E9" s="357">
        <f>E8/E5</f>
        <v>0.39746457055002959</v>
      </c>
      <c r="F9" s="357">
        <f>F8/F5</f>
        <v>0.41346457055002955</v>
      </c>
      <c r="G9" s="357">
        <f>F9</f>
        <v>0.41346457055002955</v>
      </c>
      <c r="H9" s="357">
        <f t="shared" ref="H9:I9" si="0">G9</f>
        <v>0.41346457055002955</v>
      </c>
      <c r="I9" s="357">
        <f t="shared" si="0"/>
        <v>0.41346457055002955</v>
      </c>
      <c r="J9" s="476">
        <f>AVERAGE(E9:I9)</f>
        <v>0.41026457055002952</v>
      </c>
    </row>
    <row r="10" spans="2:11" x14ac:dyDescent="0.2">
      <c r="B10" s="2"/>
      <c r="D10" s="428"/>
      <c r="E10" s="1"/>
      <c r="F10" s="1"/>
      <c r="G10" s="1"/>
      <c r="H10" s="1"/>
      <c r="I10" s="1"/>
      <c r="J10" s="474"/>
    </row>
    <row r="11" spans="2:11" x14ac:dyDescent="0.2">
      <c r="B11" s="2" t="s">
        <v>205</v>
      </c>
      <c r="D11" s="425">
        <f>'Main LBO'!G83</f>
        <v>17.84</v>
      </c>
      <c r="E11" s="367">
        <f ca="1">'Main LBO'!H83</f>
        <v>12.259354743644808</v>
      </c>
      <c r="F11" s="367">
        <f ca="1">'Main LBO'!I83</f>
        <v>17.27007859398006</v>
      </c>
      <c r="G11" s="367">
        <f ca="1">'Main LBO'!J83</f>
        <v>21.921062680827941</v>
      </c>
      <c r="H11" s="367">
        <f ca="1">'Main LBO'!K83</f>
        <v>26.885783278441824</v>
      </c>
      <c r="I11" s="367">
        <f ca="1">'Main LBO'!L83</f>
        <v>32.586178326308541</v>
      </c>
      <c r="J11" s="474"/>
    </row>
    <row r="12" spans="2:11" x14ac:dyDescent="0.2">
      <c r="B12" s="2" t="s">
        <v>206</v>
      </c>
      <c r="D12" s="428"/>
      <c r="E12" s="357">
        <v>0.19</v>
      </c>
      <c r="F12" s="357">
        <v>0.19</v>
      </c>
      <c r="G12" s="357">
        <v>0.19</v>
      </c>
      <c r="H12" s="357">
        <v>0.19</v>
      </c>
      <c r="I12" s="357">
        <v>0.19</v>
      </c>
      <c r="J12" s="476">
        <f>AVERAGE(E12:I12)</f>
        <v>0.19</v>
      </c>
    </row>
    <row r="13" spans="2:11" x14ac:dyDescent="0.2">
      <c r="B13" s="2"/>
      <c r="D13" s="428"/>
      <c r="E13" s="1"/>
      <c r="F13" s="1"/>
      <c r="G13" s="1"/>
      <c r="H13" s="1"/>
      <c r="I13" s="1"/>
      <c r="J13" s="474"/>
    </row>
    <row r="14" spans="2:11" x14ac:dyDescent="0.2">
      <c r="B14" s="2" t="s">
        <v>207</v>
      </c>
      <c r="D14" s="425">
        <f>D8-D11</f>
        <v>96.679999999999993</v>
      </c>
      <c r="E14" s="367">
        <f ca="1">E8-E11</f>
        <v>127.508266561132</v>
      </c>
      <c r="F14" s="367">
        <f t="shared" ref="F14:I14" ca="1" si="1">F8-F11</f>
        <v>145.28040144876039</v>
      </c>
      <c r="G14" s="367">
        <f t="shared" ca="1" si="1"/>
        <v>159.54608320166469</v>
      </c>
      <c r="H14" s="367">
        <f t="shared" ca="1" si="1"/>
        <v>173.45394577583002</v>
      </c>
      <c r="I14" s="367">
        <f t="shared" ca="1" si="1"/>
        <v>188.7892222786619</v>
      </c>
      <c r="J14" s="474"/>
    </row>
    <row r="15" spans="2:11" x14ac:dyDescent="0.2">
      <c r="B15" s="2"/>
      <c r="D15" s="355"/>
      <c r="E15" s="1"/>
      <c r="F15" s="1"/>
      <c r="G15" s="1"/>
      <c r="H15" s="1"/>
      <c r="I15" s="1"/>
      <c r="J15" s="474"/>
    </row>
    <row r="16" spans="2:11" x14ac:dyDescent="0.2">
      <c r="B16" s="2" t="s">
        <v>208</v>
      </c>
      <c r="D16" s="368"/>
      <c r="E16" s="356">
        <f>'Main LBO'!H92</f>
        <v>16.849069639644942</v>
      </c>
      <c r="F16" s="356">
        <f>'Main LBO'!I92</f>
        <v>18.837259857123041</v>
      </c>
      <c r="G16" s="356">
        <f>'Main LBO'!J92</f>
        <v>20.928195701263697</v>
      </c>
      <c r="H16" s="356">
        <f>'Main LBO'!K92</f>
        <v>23.104728054195125</v>
      </c>
      <c r="I16" s="356">
        <f>'Main LBO'!L92</f>
        <v>25.530724499885611</v>
      </c>
      <c r="J16" s="474"/>
      <c r="K16" s="23"/>
    </row>
    <row r="17" spans="2:12" x14ac:dyDescent="0.2">
      <c r="B17" s="2" t="s">
        <v>209</v>
      </c>
      <c r="D17" s="355"/>
      <c r="E17" s="357">
        <f>E16/E5</f>
        <v>4.791458970233E-2</v>
      </c>
      <c r="F17" s="357">
        <f>F16/F5</f>
        <v>4.791458970233E-2</v>
      </c>
      <c r="G17" s="357">
        <f>F17</f>
        <v>4.791458970233E-2</v>
      </c>
      <c r="H17" s="357">
        <f t="shared" ref="H17:I17" si="2">G17</f>
        <v>4.791458970233E-2</v>
      </c>
      <c r="I17" s="357">
        <f t="shared" si="2"/>
        <v>4.791458970233E-2</v>
      </c>
      <c r="J17" s="476">
        <f>AVERAGE(E17:I17)</f>
        <v>4.791458970233E-2</v>
      </c>
    </row>
    <row r="18" spans="2:12" x14ac:dyDescent="0.2">
      <c r="B18" s="2"/>
      <c r="D18" s="355"/>
      <c r="E18" s="1"/>
      <c r="F18" s="1"/>
      <c r="G18" s="1"/>
      <c r="H18" s="1"/>
      <c r="I18" s="1"/>
      <c r="J18" s="474"/>
    </row>
    <row r="19" spans="2:12" x14ac:dyDescent="0.2">
      <c r="B19" s="2" t="s">
        <v>210</v>
      </c>
      <c r="D19" s="368"/>
      <c r="E19" s="356">
        <f>'Main LBO'!H95</f>
        <v>28.131840000000004</v>
      </c>
      <c r="F19" s="356">
        <f>'Main LBO'!I95</f>
        <v>23.588547839999997</v>
      </c>
      <c r="G19" s="356">
        <f>'Main LBO'!J95</f>
        <v>21.839063875199997</v>
      </c>
      <c r="H19" s="356">
        <f>'Main LBO'!K95</f>
        <v>24.110326518220802</v>
      </c>
      <c r="I19" s="356">
        <f>'Main LBO'!L95</f>
        <v>26.641910802633983</v>
      </c>
      <c r="J19" s="474"/>
    </row>
    <row r="20" spans="2:12" x14ac:dyDescent="0.2">
      <c r="B20" s="2" t="s">
        <v>204</v>
      </c>
      <c r="D20" s="355"/>
      <c r="E20" s="357">
        <f>E19/E5</f>
        <v>0.08</v>
      </c>
      <c r="F20" s="357">
        <f>F19/F5</f>
        <v>0.06</v>
      </c>
      <c r="G20" s="357">
        <f>G19/G5</f>
        <v>0.05</v>
      </c>
      <c r="H20" s="357">
        <f>H19/H5</f>
        <v>0.05</v>
      </c>
      <c r="I20" s="357">
        <f>I19/I5</f>
        <v>0.05</v>
      </c>
      <c r="J20" s="476">
        <f>AVERAGE(E20:I20)</f>
        <v>5.7999999999999996E-2</v>
      </c>
    </row>
    <row r="21" spans="2:12" x14ac:dyDescent="0.2">
      <c r="B21" s="2"/>
      <c r="D21" s="358"/>
      <c r="E21" s="190"/>
      <c r="F21" s="190"/>
      <c r="G21" s="190"/>
      <c r="H21" s="190"/>
      <c r="I21" s="190"/>
      <c r="J21" s="477"/>
    </row>
    <row r="22" spans="2:12" x14ac:dyDescent="0.2">
      <c r="B22" s="2" t="s">
        <v>211</v>
      </c>
      <c r="D22" s="359"/>
      <c r="E22" s="360">
        <f ca="1">'Main LBO'!H89</f>
        <v>9.5184126114556875</v>
      </c>
      <c r="F22" s="360">
        <f ca="1">'Main LBO'!I89</f>
        <v>10.641585299607456</v>
      </c>
      <c r="G22" s="360">
        <f ca="1">'Main LBO'!J89</f>
        <v>11.822801267863884</v>
      </c>
      <c r="H22" s="360">
        <f ca="1">'Main LBO'!K89</f>
        <v>13.05237259972173</v>
      </c>
      <c r="I22" s="360">
        <f ca="1">'Main LBO'!L89</f>
        <v>14.422871722692511</v>
      </c>
      <c r="J22" s="477"/>
    </row>
    <row r="23" spans="2:12" x14ac:dyDescent="0.2">
      <c r="B23" s="2" t="s">
        <v>204</v>
      </c>
      <c r="D23" s="358"/>
      <c r="E23" s="357">
        <f ca="1">E22/E5</f>
        <v>2.7068012931840042E-2</v>
      </c>
      <c r="F23" s="357">
        <f t="shared" ref="F23:I23" ca="1" si="3">F22/F5</f>
        <v>2.7068012931840038E-2</v>
      </c>
      <c r="G23" s="357">
        <f t="shared" ca="1" si="3"/>
        <v>2.7068012931840042E-2</v>
      </c>
      <c r="H23" s="357">
        <f t="shared" ca="1" si="3"/>
        <v>2.7068012931840042E-2</v>
      </c>
      <c r="I23" s="357">
        <f t="shared" ca="1" si="3"/>
        <v>2.7068012931840042E-2</v>
      </c>
      <c r="J23" s="478">
        <f ca="1">AVERAGE(E23:I23)</f>
        <v>2.7068012931840042E-2</v>
      </c>
      <c r="K23" s="23"/>
    </row>
    <row r="24" spans="2:12" x14ac:dyDescent="0.2">
      <c r="B24" s="2"/>
      <c r="D24" s="322"/>
      <c r="E24" s="190"/>
      <c r="F24" s="190"/>
      <c r="G24" s="190"/>
      <c r="H24" s="190"/>
      <c r="I24" s="190"/>
      <c r="J24" s="190"/>
    </row>
    <row r="25" spans="2:12" x14ac:dyDescent="0.2">
      <c r="B25" s="35" t="s">
        <v>2423</v>
      </c>
      <c r="C25" s="18"/>
      <c r="D25" s="361"/>
      <c r="E25" s="362">
        <f ca="1">E14+E16-E19-E22</f>
        <v>106.70708358932126</v>
      </c>
      <c r="F25" s="362">
        <f t="shared" ref="F25:I25" ca="1" si="4">F14+F16-F19-F22</f>
        <v>129.88752816627596</v>
      </c>
      <c r="G25" s="362">
        <f t="shared" ca="1" si="4"/>
        <v>146.81241375986448</v>
      </c>
      <c r="H25" s="362">
        <f t="shared" ca="1" si="4"/>
        <v>159.39597471208262</v>
      </c>
      <c r="I25" s="362">
        <f t="shared" ca="1" si="4"/>
        <v>173.25516425322101</v>
      </c>
      <c r="J25" s="363"/>
    </row>
    <row r="26" spans="2:12" x14ac:dyDescent="0.2">
      <c r="B26" s="120" t="s">
        <v>2424</v>
      </c>
      <c r="C26" s="18"/>
      <c r="D26" s="221"/>
      <c r="E26" s="364">
        <f>' WACC &amp; Unlevered CoC'!$G$34</f>
        <v>0.10143380160807403</v>
      </c>
      <c r="F26" s="364">
        <f>' WACC &amp; Unlevered CoC'!$G$34</f>
        <v>0.10143380160807403</v>
      </c>
      <c r="G26" s="364">
        <f>' WACC &amp; Unlevered CoC'!$G$34</f>
        <v>0.10143380160807403</v>
      </c>
      <c r="H26" s="364">
        <f>' WACC &amp; Unlevered CoC'!$G$34</f>
        <v>0.10143380160807403</v>
      </c>
      <c r="I26" s="364">
        <f>' WACC &amp; Unlevered CoC'!$G$34</f>
        <v>0.10143380160807403</v>
      </c>
      <c r="J26" s="365"/>
    </row>
    <row r="27" spans="2:12" x14ac:dyDescent="0.2">
      <c r="B27" s="22" t="s">
        <v>2420</v>
      </c>
      <c r="C27" s="18"/>
      <c r="D27" s="221"/>
      <c r="E27" s="362">
        <f ca="1">E25/(1+E26)^E2</f>
        <v>96.880160599330424</v>
      </c>
      <c r="F27" s="362">
        <f ca="1">F25/(1+F26)^F2</f>
        <v>107.06577164926948</v>
      </c>
      <c r="G27" s="362">
        <f ca="1">G25/(1+G26)^G2</f>
        <v>109.87213865555614</v>
      </c>
      <c r="H27" s="362">
        <f ca="1">H25/(1+H26)^H2</f>
        <v>108.30381342727649</v>
      </c>
      <c r="I27" s="362">
        <f ca="1">I25/(1+I26)^I2</f>
        <v>106.87944429866431</v>
      </c>
      <c r="J27" s="366"/>
    </row>
    <row r="28" spans="2:12" x14ac:dyDescent="0.2">
      <c r="B28" s="2"/>
      <c r="E28" s="11"/>
      <c r="F28" s="11"/>
      <c r="G28" s="11"/>
      <c r="H28" s="11"/>
      <c r="I28" s="11"/>
      <c r="J28" s="11"/>
    </row>
    <row r="29" spans="2:12" x14ac:dyDescent="0.2">
      <c r="B29" s="22" t="s">
        <v>2429</v>
      </c>
      <c r="C29" s="18"/>
      <c r="D29" s="18"/>
      <c r="E29" s="422">
        <f ca="1">'Main LBO'!H77</f>
        <v>75.793401601383081</v>
      </c>
      <c r="F29" s="422">
        <f ca="1">'Main LBO'!I77</f>
        <v>72.204029548108551</v>
      </c>
      <c r="G29" s="422">
        <f ca="1">'Main LBO'!J77</f>
        <v>66.641831772871882</v>
      </c>
      <c r="H29" s="422">
        <f ca="1">'Main LBO'!K77</f>
        <v>59.384306536157013</v>
      </c>
      <c r="I29" s="422">
        <f ca="1">'Main LBO'!L77</f>
        <v>50.417898887557044</v>
      </c>
      <c r="J29" s="11"/>
    </row>
    <row r="30" spans="2:12" x14ac:dyDescent="0.2">
      <c r="B30" s="22" t="s">
        <v>2422</v>
      </c>
      <c r="C30" s="18"/>
      <c r="D30" s="18"/>
      <c r="E30" s="422">
        <f ca="1">E29*E12</f>
        <v>14.400746304262785</v>
      </c>
      <c r="F30" s="422">
        <f t="shared" ref="F30:I30" ca="1" si="5">F29*F12</f>
        <v>13.718765614140624</v>
      </c>
      <c r="G30" s="422">
        <f t="shared" ca="1" si="5"/>
        <v>12.661948036845658</v>
      </c>
      <c r="H30" s="422">
        <f t="shared" ca="1" si="5"/>
        <v>11.283018241869833</v>
      </c>
      <c r="I30" s="422">
        <f t="shared" ca="1" si="5"/>
        <v>9.579400788635839</v>
      </c>
      <c r="J30" s="11"/>
    </row>
    <row r="31" spans="2:12" x14ac:dyDescent="0.2">
      <c r="B31" s="22" t="s">
        <v>2421</v>
      </c>
      <c r="C31" s="18"/>
      <c r="D31" s="18"/>
      <c r="E31" s="364">
        <f ca="1">' WACC &amp; Unlevered CoC'!G48</f>
        <v>8.3187000000000011E-2</v>
      </c>
      <c r="F31" s="364">
        <f ca="1">' WACC &amp; Unlevered CoC'!H48</f>
        <v>7.1684999999999999E-2</v>
      </c>
      <c r="G31" s="364">
        <f ca="1">' WACC &amp; Unlevered CoC'!I48</f>
        <v>6.8526000000000017E-2</v>
      </c>
      <c r="H31" s="364">
        <f ca="1">' WACC &amp; Unlevered CoC'!J48</f>
        <v>6.2208000000000013E-2</v>
      </c>
      <c r="I31" s="364">
        <f ca="1">' WACC &amp; Unlevered CoC'!K48</f>
        <v>5.710500000000001E-2</v>
      </c>
      <c r="J31" s="440" t="s">
        <v>2428</v>
      </c>
      <c r="K31" s="336"/>
      <c r="L31" s="336"/>
    </row>
    <row r="32" spans="2:12" x14ac:dyDescent="0.2">
      <c r="B32" s="22" t="s">
        <v>2425</v>
      </c>
      <c r="C32" s="18"/>
      <c r="D32" s="18"/>
      <c r="E32" s="362">
        <f ca="1">E30/(1+E31)^E2</f>
        <v>13.294792408201708</v>
      </c>
      <c r="F32" s="362">
        <f t="shared" ref="F32:I32" ca="1" si="6">F30/(1+F31)^F2</f>
        <v>11.944850871050301</v>
      </c>
      <c r="G32" s="362">
        <f t="shared" ca="1" si="6"/>
        <v>10.3787546255822</v>
      </c>
      <c r="H32" s="362">
        <f t="shared" ca="1" si="6"/>
        <v>8.8631279391378452</v>
      </c>
      <c r="I32" s="362">
        <f t="shared" ca="1" si="6"/>
        <v>7.2568426921337386</v>
      </c>
      <c r="J32" s="11"/>
    </row>
    <row r="33" spans="2:13" x14ac:dyDescent="0.2">
      <c r="B33" s="23"/>
      <c r="C33" s="23"/>
    </row>
    <row r="34" spans="2:13" x14ac:dyDescent="0.2">
      <c r="G34" s="36" t="s">
        <v>212</v>
      </c>
      <c r="H34" s="37"/>
      <c r="I34" s="38"/>
    </row>
    <row r="35" spans="2:13" x14ac:dyDescent="0.2">
      <c r="E35" s="113"/>
      <c r="G35" s="528" t="s">
        <v>213</v>
      </c>
      <c r="H35" s="528"/>
      <c r="I35" s="39">
        <f ca="1">(I25*(1+I56)/(I55-I56))</f>
        <v>2170.1095128630704</v>
      </c>
    </row>
    <row r="36" spans="2:13" x14ac:dyDescent="0.2">
      <c r="G36" s="528" t="s">
        <v>214</v>
      </c>
      <c r="H36" s="528"/>
      <c r="I36" s="39">
        <f ca="1">I35/(1+I55)^I2</f>
        <v>1338.7196843556023</v>
      </c>
    </row>
    <row r="37" spans="2:13" x14ac:dyDescent="0.2">
      <c r="G37" s="528" t="s">
        <v>2420</v>
      </c>
      <c r="H37" s="528"/>
      <c r="I37" s="40">
        <f ca="1">SUM(E27:I27)</f>
        <v>529.00132863009685</v>
      </c>
    </row>
    <row r="38" spans="2:13" x14ac:dyDescent="0.2">
      <c r="G38" s="414" t="s">
        <v>2426</v>
      </c>
      <c r="H38" s="414"/>
      <c r="I38" s="39">
        <f ca="1">SUM(E32:I32)</f>
        <v>51.738368536105796</v>
      </c>
    </row>
    <row r="39" spans="2:13" x14ac:dyDescent="0.2">
      <c r="G39" s="414" t="s">
        <v>2432</v>
      </c>
      <c r="H39" s="414"/>
      <c r="I39" s="40">
        <f ca="1">(I30*(1+I56)/(I31-I56))</f>
        <v>263.33348078179637</v>
      </c>
      <c r="J39" s="440"/>
    </row>
    <row r="40" spans="2:13" x14ac:dyDescent="0.2">
      <c r="G40" s="414" t="s">
        <v>2434</v>
      </c>
      <c r="H40" s="414"/>
      <c r="I40" s="39">
        <f ca="1">I39/(1+I31)^I2</f>
        <v>199.48738838367908</v>
      </c>
    </row>
    <row r="41" spans="2:13" ht="16" thickBot="1" x14ac:dyDescent="0.25">
      <c r="G41" s="423" t="s">
        <v>2435</v>
      </c>
      <c r="H41" s="423"/>
      <c r="I41" s="424">
        <f ca="1">I37+I38+I40+I36</f>
        <v>2118.946769905484</v>
      </c>
      <c r="M41" s="472"/>
    </row>
    <row r="42" spans="2:13" x14ac:dyDescent="0.2">
      <c r="G42" s="41" t="s">
        <v>215</v>
      </c>
      <c r="H42" s="41"/>
      <c r="I42" s="40">
        <f>'Main LBO'!E19</f>
        <v>54.87</v>
      </c>
    </row>
    <row r="43" spans="2:13" x14ac:dyDescent="0.2">
      <c r="G43" s="41" t="s">
        <v>189</v>
      </c>
      <c r="H43" s="41"/>
      <c r="I43" s="40">
        <f>'Main LBO'!E18</f>
        <v>142.31100000000001</v>
      </c>
    </row>
    <row r="44" spans="2:13" x14ac:dyDescent="0.2">
      <c r="G44" s="41" t="s">
        <v>216</v>
      </c>
      <c r="H44" s="41"/>
      <c r="I44" s="40">
        <f ca="1">I41+I42-I43</f>
        <v>2031.5057699054839</v>
      </c>
      <c r="J44" s="114"/>
    </row>
    <row r="45" spans="2:13" x14ac:dyDescent="0.2">
      <c r="G45" s="41" t="s">
        <v>217</v>
      </c>
      <c r="H45" s="41"/>
      <c r="I45" s="149">
        <v>3.51</v>
      </c>
      <c r="J45" s="114"/>
    </row>
    <row r="46" spans="2:13" x14ac:dyDescent="0.2">
      <c r="G46" s="41" t="s">
        <v>218</v>
      </c>
      <c r="H46" s="41"/>
      <c r="I46" s="378">
        <f ca="1">I44/I45</f>
        <v>578.77657262264506</v>
      </c>
      <c r="K46" s="23"/>
    </row>
    <row r="47" spans="2:13" x14ac:dyDescent="0.2">
      <c r="G47" s="41"/>
      <c r="H47" s="41"/>
      <c r="I47" s="42"/>
      <c r="L47" s="23"/>
    </row>
    <row r="48" spans="2:13" x14ac:dyDescent="0.2">
      <c r="G48" s="41" t="s">
        <v>219</v>
      </c>
      <c r="H48" s="41"/>
      <c r="I48" s="378">
        <f>'Main LBO'!L10</f>
        <v>404.58150000000001</v>
      </c>
    </row>
    <row r="49" spans="7:10" x14ac:dyDescent="0.2">
      <c r="G49" s="41" t="s">
        <v>2431</v>
      </c>
      <c r="H49" s="41"/>
      <c r="I49" s="45">
        <f ca="1">(I46/I48)-1</f>
        <v>0.43055619849806548</v>
      </c>
    </row>
    <row r="50" spans="7:10" x14ac:dyDescent="0.2">
      <c r="G50" s="41"/>
      <c r="H50" s="41"/>
      <c r="I50" s="42"/>
    </row>
    <row r="51" spans="7:10" x14ac:dyDescent="0.2">
      <c r="G51" s="41" t="s">
        <v>220</v>
      </c>
      <c r="H51" s="41"/>
      <c r="I51" s="378">
        <v>305</v>
      </c>
      <c r="J51" s="43"/>
    </row>
    <row r="52" spans="7:10" x14ac:dyDescent="0.2">
      <c r="G52" s="41" t="s">
        <v>221</v>
      </c>
      <c r="H52" s="41"/>
      <c r="I52" s="378">
        <f ca="1">(I46-I51)</f>
        <v>273.77657262264506</v>
      </c>
      <c r="J52" s="43"/>
    </row>
    <row r="53" spans="7:10" x14ac:dyDescent="0.2">
      <c r="G53" s="41" t="s">
        <v>222</v>
      </c>
      <c r="H53" s="41"/>
      <c r="I53" s="45">
        <f ca="1">(I46/I51)-1</f>
        <v>0.89762810695949202</v>
      </c>
    </row>
    <row r="54" spans="7:10" x14ac:dyDescent="0.2">
      <c r="G54" s="41"/>
      <c r="H54" s="41"/>
      <c r="I54" s="41"/>
    </row>
    <row r="55" spans="7:10" x14ac:dyDescent="0.2">
      <c r="G55" s="41" t="s">
        <v>2419</v>
      </c>
      <c r="H55" s="41"/>
      <c r="I55" s="44">
        <f>' WACC &amp; Unlevered CoC'!G34</f>
        <v>0.10143380160807403</v>
      </c>
    </row>
    <row r="56" spans="7:10" x14ac:dyDescent="0.2">
      <c r="G56" s="41" t="s">
        <v>223</v>
      </c>
      <c r="H56" s="41"/>
      <c r="I56" s="44">
        <v>0.02</v>
      </c>
    </row>
    <row r="57" spans="7:10" x14ac:dyDescent="0.2">
      <c r="G57" s="41"/>
      <c r="H57" s="41"/>
      <c r="I57" s="44"/>
    </row>
    <row r="58" spans="7:10" x14ac:dyDescent="0.2">
      <c r="G58" s="510" t="s">
        <v>2439</v>
      </c>
      <c r="H58" s="41"/>
      <c r="I58" s="509">
        <f ca="1">(I39+I36)/I41</f>
        <v>0.75606107142033518</v>
      </c>
    </row>
  </sheetData>
  <mergeCells count="3">
    <mergeCell ref="G35:H35"/>
    <mergeCell ref="G36:H36"/>
    <mergeCell ref="G37:H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CF49-61B3-094E-AB41-E81BC646602D}">
  <dimension ref="A1:S54"/>
  <sheetViews>
    <sheetView showGridLines="0" zoomScale="94" zoomScaleNormal="181" workbookViewId="0">
      <selection activeCell="D39" sqref="D39"/>
    </sheetView>
  </sheetViews>
  <sheetFormatPr baseColWidth="10" defaultColWidth="11.5" defaultRowHeight="15" x14ac:dyDescent="0.2"/>
  <cols>
    <col min="5" max="5" width="19.5" customWidth="1"/>
    <col min="6" max="6" width="20" customWidth="1"/>
    <col min="7" max="7" width="14.83203125" customWidth="1"/>
    <col min="8" max="8" width="13.5" customWidth="1"/>
    <col min="9" max="9" width="14.33203125" customWidth="1"/>
    <col min="10" max="10" width="25" customWidth="1"/>
    <col min="12" max="12" width="11.5" customWidth="1"/>
  </cols>
  <sheetData>
    <row r="1" spans="1:19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x14ac:dyDescent="0.2">
      <c r="A3" s="46"/>
      <c r="B3" s="46"/>
      <c r="C3" s="46"/>
      <c r="D3" s="46"/>
      <c r="E3" s="46"/>
      <c r="F3" s="46"/>
      <c r="G3" s="46"/>
      <c r="H3" s="46"/>
      <c r="I3" s="46"/>
      <c r="J3" s="498" t="s">
        <v>341</v>
      </c>
      <c r="K3" s="498">
        <v>2018</v>
      </c>
      <c r="L3" s="498">
        <v>2019</v>
      </c>
      <c r="M3" s="498">
        <v>2020</v>
      </c>
      <c r="N3" s="498">
        <v>2021</v>
      </c>
      <c r="O3" s="498">
        <v>2022</v>
      </c>
      <c r="P3" s="498">
        <v>2023</v>
      </c>
      <c r="Q3" s="498">
        <v>2024</v>
      </c>
      <c r="R3" s="499">
        <v>2025</v>
      </c>
      <c r="S3" s="23"/>
    </row>
    <row r="4" spans="1:19" x14ac:dyDescent="0.2">
      <c r="A4" s="46"/>
      <c r="B4" s="48" t="s">
        <v>342</v>
      </c>
      <c r="C4" s="49"/>
      <c r="D4" s="49"/>
      <c r="E4" s="46"/>
      <c r="F4" s="50" t="s">
        <v>343</v>
      </c>
      <c r="G4" s="51" t="s">
        <v>344</v>
      </c>
      <c r="H4" s="52" t="s">
        <v>345</v>
      </c>
      <c r="I4" s="54"/>
      <c r="J4" s="500" t="s">
        <v>346</v>
      </c>
      <c r="K4" s="501">
        <v>2.8459999999999999E-2</v>
      </c>
      <c r="L4" s="501">
        <v>2.1299999999999999E-2</v>
      </c>
      <c r="M4" s="501">
        <v>1.252E-2</v>
      </c>
      <c r="N4" s="501">
        <v>3.705E-2</v>
      </c>
      <c r="O4" s="501">
        <v>6.8780000000000008E-2</v>
      </c>
      <c r="P4" s="501">
        <v>5.2479999999999999E-2</v>
      </c>
      <c r="Q4" s="501">
        <v>5.8880000000000002E-2</v>
      </c>
      <c r="R4" s="502"/>
      <c r="S4" s="23"/>
    </row>
    <row r="5" spans="1:19" x14ac:dyDescent="0.2">
      <c r="A5" s="46"/>
      <c r="B5" s="55" t="s">
        <v>347</v>
      </c>
      <c r="C5" s="53"/>
      <c r="D5" s="57">
        <f>R13</f>
        <v>5.8449999999999995E-2</v>
      </c>
      <c r="E5" s="23"/>
      <c r="F5" s="46"/>
      <c r="G5" s="58" t="s">
        <v>348</v>
      </c>
      <c r="H5" s="59">
        <v>0.19</v>
      </c>
      <c r="I5" s="46"/>
      <c r="J5" s="503" t="s">
        <v>349</v>
      </c>
      <c r="K5" s="501">
        <v>3.0440000000000002E-2</v>
      </c>
      <c r="L5" s="501">
        <v>2.0139999999999998E-2</v>
      </c>
      <c r="M5" s="501">
        <v>1.2359999999999999E-2</v>
      </c>
      <c r="N5" s="501">
        <v>3.1099999999999999E-2</v>
      </c>
      <c r="O5" s="501">
        <v>6.6159999999999997E-2</v>
      </c>
      <c r="P5" s="501">
        <v>5.5170000000000004E-2</v>
      </c>
      <c r="Q5" s="501">
        <v>5.5190000000000003E-2</v>
      </c>
      <c r="R5" s="502"/>
      <c r="S5" s="23"/>
    </row>
    <row r="6" spans="1:19" x14ac:dyDescent="0.2">
      <c r="A6" s="46"/>
      <c r="B6" s="55"/>
      <c r="C6" s="53"/>
      <c r="D6" s="53"/>
      <c r="E6" s="46"/>
      <c r="F6" s="46"/>
      <c r="G6" s="58">
        <v>0.5</v>
      </c>
      <c r="H6" s="61">
        <v>0.155</v>
      </c>
      <c r="I6" s="46"/>
      <c r="J6" s="503" t="s">
        <v>350</v>
      </c>
      <c r="K6" s="501">
        <v>3.209E-2</v>
      </c>
      <c r="L6" s="501">
        <v>1.9650000000000001E-2</v>
      </c>
      <c r="M6" s="501">
        <v>1.187E-2</v>
      </c>
      <c r="N6" s="501">
        <v>2.8769999999999997E-2</v>
      </c>
      <c r="O6" s="501">
        <v>8.3930000000000005E-2</v>
      </c>
      <c r="P6" s="501">
        <v>5.6649999999999999E-2</v>
      </c>
      <c r="Q6" s="501">
        <v>5.9059999999999994E-2</v>
      </c>
      <c r="R6" s="502"/>
      <c r="S6" s="23"/>
    </row>
    <row r="7" spans="1:19" x14ac:dyDescent="0.2">
      <c r="A7" s="46"/>
      <c r="B7" s="55" t="s">
        <v>30</v>
      </c>
      <c r="C7" s="53"/>
      <c r="D7" s="62">
        <v>115</v>
      </c>
      <c r="E7" s="56"/>
      <c r="F7" s="46"/>
      <c r="G7" s="58">
        <v>0.8</v>
      </c>
      <c r="H7" s="61">
        <v>0.10100000000000001</v>
      </c>
      <c r="I7" s="46"/>
      <c r="J7" s="503" t="s">
        <v>351</v>
      </c>
      <c r="K7" s="504">
        <v>3.2349999999999997E-2</v>
      </c>
      <c r="L7" s="504">
        <v>1.9950000000000002E-2</v>
      </c>
      <c r="M7" s="504">
        <v>1.3129999999999999E-2</v>
      </c>
      <c r="N7" s="504">
        <v>2.189E-2</v>
      </c>
      <c r="O7" s="504">
        <v>7.1639999999999995E-2</v>
      </c>
      <c r="P7" s="504">
        <v>5.9160000000000004E-2</v>
      </c>
      <c r="Q7" s="504">
        <v>5.3070000000000006E-2</v>
      </c>
      <c r="R7" s="502"/>
      <c r="S7" s="23"/>
    </row>
    <row r="8" spans="1:19" x14ac:dyDescent="0.2">
      <c r="A8" s="46"/>
      <c r="B8" s="55" t="s">
        <v>352</v>
      </c>
      <c r="C8" s="53"/>
      <c r="D8" s="369">
        <f>'Main LBO'!G77</f>
        <v>4.99</v>
      </c>
      <c r="E8" s="56"/>
      <c r="F8" s="46"/>
      <c r="G8" s="58">
        <v>1.25</v>
      </c>
      <c r="H8" s="61">
        <v>7.2800000000000004E-2</v>
      </c>
      <c r="I8" s="46"/>
      <c r="J8" s="503" t="s">
        <v>353</v>
      </c>
      <c r="K8" s="501">
        <v>3.1829999999999997E-2</v>
      </c>
      <c r="L8" s="501">
        <v>1.8319999999999999E-2</v>
      </c>
      <c r="M8" s="501">
        <v>1.3919999999999998E-2</v>
      </c>
      <c r="N8" s="501">
        <v>1.8370000000000001E-2</v>
      </c>
      <c r="O8" s="501">
        <v>6.164E-2</v>
      </c>
      <c r="P8" s="501">
        <v>5.5910000000000001E-2</v>
      </c>
      <c r="Q8" s="501">
        <v>5.4640000000000001E-2</v>
      </c>
      <c r="R8" s="502"/>
      <c r="S8" s="23"/>
    </row>
    <row r="9" spans="1:19" x14ac:dyDescent="0.2">
      <c r="A9" s="46"/>
      <c r="B9" s="55" t="s">
        <v>354</v>
      </c>
      <c r="C9" s="53"/>
      <c r="D9" s="63">
        <f>D7/D8</f>
        <v>23.046092184368735</v>
      </c>
      <c r="E9" s="64"/>
      <c r="F9" s="46"/>
      <c r="G9" s="58">
        <v>1.5</v>
      </c>
      <c r="H9" s="61">
        <v>4.4200000000000003E-2</v>
      </c>
      <c r="I9" s="46"/>
      <c r="J9" s="503" t="s">
        <v>355</v>
      </c>
      <c r="K9" s="501">
        <v>3.1869999999999996E-2</v>
      </c>
      <c r="L9" s="501">
        <v>2.1770000000000001E-2</v>
      </c>
      <c r="M9" s="501">
        <v>1.2849999999999999E-2</v>
      </c>
      <c r="N9" s="501">
        <v>1.7139999999999999E-2</v>
      </c>
      <c r="O9" s="501">
        <v>5.5590000000000001E-2</v>
      </c>
      <c r="P9" s="501">
        <v>5.4309999999999997E-2</v>
      </c>
      <c r="Q9" s="501">
        <v>5.3789999999999998E-2</v>
      </c>
      <c r="R9" s="502"/>
      <c r="S9" s="23"/>
    </row>
    <row r="10" spans="1:19" x14ac:dyDescent="0.2">
      <c r="A10" s="46"/>
      <c r="B10" s="55" t="s">
        <v>356</v>
      </c>
      <c r="C10" s="53"/>
      <c r="D10" s="57">
        <f>IF(D9&lt;$G$6,$H$5,IF(D9&lt;$G$7,$H$6,IF(D9&lt;$G$8,$H$7,IF(D9&lt;$G$9,$H$8,IF(D9&lt;$G$10,$H$9,IF(D9&lt;$G$11,$H$10,IF(D9&lt;$G$12,$H$11,IF(D9&lt;$G$13,$H$12,IF(D9&lt;$G$14,$H$13,IF(D9&lt;$G$15,$H$14,IF(D9&lt;$G$16,$H$15,IF(D9&lt;$G$17,$H$16,IF(D9&lt;$G$18,$H$17,IF(D9&lt;$G$19,$H$18,IF(D9&gt;$G$19,$H$19)))))))))))))))</f>
        <v>4.4999999999999997E-3</v>
      </c>
      <c r="E10" s="46"/>
      <c r="F10" s="46"/>
      <c r="G10" s="58">
        <v>2</v>
      </c>
      <c r="H10" s="61">
        <v>0.03</v>
      </c>
      <c r="I10" s="46"/>
      <c r="J10" s="503" t="s">
        <v>357</v>
      </c>
      <c r="K10" s="501">
        <v>3.2120000000000003E-2</v>
      </c>
      <c r="L10" s="501">
        <v>2.3940000000000003E-2</v>
      </c>
      <c r="M10" s="501">
        <v>1.3849999999999999E-2</v>
      </c>
      <c r="N10" s="501">
        <v>1.6500000000000001E-2</v>
      </c>
      <c r="O10" s="501">
        <v>6.9360000000000005E-2</v>
      </c>
      <c r="P10" s="501">
        <v>5.7759999999999999E-2</v>
      </c>
      <c r="Q10" s="501">
        <v>5.7000000000000002E-2</v>
      </c>
      <c r="R10" s="502"/>
      <c r="S10" s="23"/>
    </row>
    <row r="11" spans="1:19" x14ac:dyDescent="0.2">
      <c r="A11" s="46"/>
      <c r="B11" s="55"/>
      <c r="C11" s="53"/>
      <c r="D11" s="57"/>
      <c r="E11" s="65"/>
      <c r="F11" s="46"/>
      <c r="G11" s="58">
        <v>2.5</v>
      </c>
      <c r="H11" s="61">
        <v>2.6100000000000002E-2</v>
      </c>
      <c r="I11" s="46"/>
      <c r="J11" s="503" t="s">
        <v>358</v>
      </c>
      <c r="K11" s="501">
        <v>3.2750000000000001E-2</v>
      </c>
      <c r="L11" s="501">
        <v>2.649E-2</v>
      </c>
      <c r="M11" s="501">
        <v>1.1850000000000001E-2</v>
      </c>
      <c r="N11" s="501">
        <v>1.866E-2</v>
      </c>
      <c r="O11" s="501">
        <v>6.6269999999999996E-2</v>
      </c>
      <c r="P11" s="501">
        <v>6.0449999999999997E-2</v>
      </c>
      <c r="Q11" s="501">
        <v>5.7079999999999999E-2</v>
      </c>
      <c r="R11" s="502"/>
      <c r="S11" s="23"/>
    </row>
    <row r="12" spans="1:19" x14ac:dyDescent="0.2">
      <c r="A12" s="46"/>
      <c r="B12" s="55" t="s">
        <v>359</v>
      </c>
      <c r="C12" s="53"/>
      <c r="D12" s="57">
        <f>D10+D5</f>
        <v>6.2949999999999992E-2</v>
      </c>
      <c r="E12" s="65"/>
      <c r="F12" s="46"/>
      <c r="G12" s="58">
        <v>3</v>
      </c>
      <c r="H12" s="61">
        <v>1.83E-2</v>
      </c>
      <c r="I12" s="46"/>
      <c r="J12" s="503" t="s">
        <v>360</v>
      </c>
      <c r="K12" s="504">
        <v>3.0759999999999999E-2</v>
      </c>
      <c r="L12" s="504">
        <v>3.0099999999999998E-2</v>
      </c>
      <c r="M12" s="504">
        <v>1.464E-2</v>
      </c>
      <c r="N12" s="504">
        <v>1.7150000000000002E-2</v>
      </c>
      <c r="O12" s="504">
        <v>6.3990000000000005E-2</v>
      </c>
      <c r="P12" s="504">
        <v>5.9089999999999997E-2</v>
      </c>
      <c r="Q12" s="504">
        <v>5.7220000000000007E-2</v>
      </c>
      <c r="R12" s="502"/>
      <c r="S12" s="23"/>
    </row>
    <row r="13" spans="1:19" x14ac:dyDescent="0.2">
      <c r="A13" s="46"/>
      <c r="B13" s="55" t="s">
        <v>287</v>
      </c>
      <c r="C13" s="53"/>
      <c r="D13" s="57">
        <v>0.19</v>
      </c>
      <c r="E13" s="46"/>
      <c r="F13" s="46"/>
      <c r="G13" s="58">
        <v>3.5</v>
      </c>
      <c r="H13" s="61">
        <v>1.55E-2</v>
      </c>
      <c r="I13" s="46"/>
      <c r="J13" s="503" t="s">
        <v>361</v>
      </c>
      <c r="K13" s="501">
        <v>3.1669999999999997E-2</v>
      </c>
      <c r="L13" s="501">
        <v>2.8399999999999998E-2</v>
      </c>
      <c r="M13" s="501">
        <v>1.685E-2</v>
      </c>
      <c r="N13" s="501">
        <v>1.575E-2</v>
      </c>
      <c r="O13" s="501">
        <v>5.2420000000000001E-2</v>
      </c>
      <c r="P13" s="501">
        <v>6.0650000000000003E-2</v>
      </c>
      <c r="Q13" s="501">
        <v>5.4429999999999999E-2</v>
      </c>
      <c r="R13" s="505">
        <v>5.8449999999999995E-2</v>
      </c>
      <c r="S13" s="23"/>
    </row>
    <row r="14" spans="1:19" x14ac:dyDescent="0.2">
      <c r="A14" s="46"/>
      <c r="B14" s="55"/>
      <c r="C14" s="53"/>
      <c r="D14" s="57"/>
      <c r="E14" s="46"/>
      <c r="F14" s="46"/>
      <c r="G14" s="58">
        <v>4</v>
      </c>
      <c r="H14" s="61">
        <v>1.2E-2</v>
      </c>
      <c r="I14" s="46"/>
      <c r="J14" s="503" t="s">
        <v>362</v>
      </c>
      <c r="K14" s="501">
        <v>3.3500000000000002E-2</v>
      </c>
      <c r="L14" s="501">
        <v>2.954E-2</v>
      </c>
      <c r="M14" s="501">
        <v>1.7920000000000002E-2</v>
      </c>
      <c r="N14" s="501">
        <v>1.6070000000000001E-2</v>
      </c>
      <c r="O14" s="501">
        <v>4.1159999999999995E-2</v>
      </c>
      <c r="P14" s="501">
        <v>6.5549999999999997E-2</v>
      </c>
      <c r="Q14" s="501">
        <v>5.3230000000000006E-2</v>
      </c>
      <c r="R14" s="505">
        <v>5.8449999999999995E-2</v>
      </c>
      <c r="S14" s="23"/>
    </row>
    <row r="15" spans="1:19" ht="16" thickBot="1" x14ac:dyDescent="0.25">
      <c r="A15" s="46"/>
      <c r="B15" s="55" t="s">
        <v>363</v>
      </c>
      <c r="C15" s="53"/>
      <c r="D15" s="57">
        <f>D12*(1-D13)</f>
        <v>5.09895E-2</v>
      </c>
      <c r="E15" s="46"/>
      <c r="F15" s="46"/>
      <c r="G15" s="58">
        <v>4.5</v>
      </c>
      <c r="H15" s="61">
        <v>9.4999999999999998E-3</v>
      </c>
      <c r="I15" s="46"/>
      <c r="J15" s="503" t="s">
        <v>364</v>
      </c>
      <c r="K15" s="501">
        <v>3.6209999999999999E-2</v>
      </c>
      <c r="L15" s="501">
        <v>2.7309999999999997E-2</v>
      </c>
      <c r="M15" s="501">
        <v>2.1320000000000002E-2</v>
      </c>
      <c r="N15" s="501">
        <v>1.1610000000000001E-2</v>
      </c>
      <c r="O15" s="501">
        <v>4.1100000000000005E-2</v>
      </c>
      <c r="P15" s="501">
        <v>6.0479999999999999E-2</v>
      </c>
      <c r="Q15" s="501">
        <v>5.21E-2</v>
      </c>
      <c r="R15" s="505">
        <v>5.8449999999999995E-2</v>
      </c>
      <c r="S15" s="23"/>
    </row>
    <row r="16" spans="1:19" x14ac:dyDescent="0.2">
      <c r="A16" s="46"/>
      <c r="B16" s="66"/>
      <c r="C16" s="53"/>
      <c r="D16" s="67"/>
      <c r="E16" s="65"/>
      <c r="F16" s="46"/>
      <c r="G16" s="58">
        <v>6</v>
      </c>
      <c r="H16" s="61">
        <v>8.5000000000000006E-3</v>
      </c>
      <c r="I16" s="46"/>
      <c r="J16" s="506" t="s">
        <v>293</v>
      </c>
      <c r="K16" s="507">
        <f t="shared" ref="K16:Q16" si="0">AVERAGE(K4:K15)</f>
        <v>3.200416666666666E-2</v>
      </c>
      <c r="L16" s="507">
        <f t="shared" si="0"/>
        <v>2.3909166666666665E-2</v>
      </c>
      <c r="M16" s="507">
        <f t="shared" si="0"/>
        <v>1.4423333333333331E-2</v>
      </c>
      <c r="N16" s="507">
        <f t="shared" si="0"/>
        <v>2.083833333333333E-2</v>
      </c>
      <c r="O16" s="507">
        <f t="shared" si="0"/>
        <v>6.1836666666666658E-2</v>
      </c>
      <c r="P16" s="507">
        <f t="shared" si="0"/>
        <v>5.8138333333333327E-2</v>
      </c>
      <c r="Q16" s="507">
        <f t="shared" si="0"/>
        <v>5.5474166666666679E-2</v>
      </c>
      <c r="R16" s="507">
        <f>AVERAGE(R13:R15)</f>
        <v>5.8449999999999995E-2</v>
      </c>
      <c r="S16" s="23"/>
    </row>
    <row r="17" spans="1:19" x14ac:dyDescent="0.2">
      <c r="A17" s="46"/>
      <c r="B17" s="48" t="s">
        <v>365</v>
      </c>
      <c r="C17" s="49"/>
      <c r="D17" s="68" t="s">
        <v>366</v>
      </c>
      <c r="E17" s="46"/>
      <c r="F17" s="46"/>
      <c r="G17" s="58">
        <v>7.5</v>
      </c>
      <c r="H17" s="61">
        <v>7.7000000000000002E-3</v>
      </c>
      <c r="I17" s="46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x14ac:dyDescent="0.2">
      <c r="A18" s="46"/>
      <c r="B18" s="55" t="s">
        <v>367</v>
      </c>
      <c r="C18" s="53"/>
      <c r="D18" s="63">
        <f>'Baseline Beta'!H4</f>
        <v>0.44142381519726703</v>
      </c>
      <c r="E18" s="65"/>
      <c r="F18" s="46"/>
      <c r="G18" s="58">
        <v>9.5</v>
      </c>
      <c r="H18" s="61">
        <v>6.0000000000000001E-3</v>
      </c>
      <c r="I18" s="46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 x14ac:dyDescent="0.2">
      <c r="A19" s="46"/>
      <c r="B19" s="55" t="s">
        <v>2417</v>
      </c>
      <c r="C19" s="53"/>
      <c r="D19" s="63">
        <f>D18*(1/3)+1*(2/3)</f>
        <v>0.81380793839908894</v>
      </c>
      <c r="E19" s="371"/>
      <c r="F19" s="46"/>
      <c r="G19" s="69">
        <v>12.5</v>
      </c>
      <c r="H19" s="70">
        <v>4.4999999999999997E-3</v>
      </c>
      <c r="I19" s="46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x14ac:dyDescent="0.2">
      <c r="A20" s="46"/>
      <c r="B20" s="55" t="s">
        <v>347</v>
      </c>
      <c r="C20" s="53"/>
      <c r="D20" s="57">
        <f>D5</f>
        <v>5.8449999999999995E-2</v>
      </c>
      <c r="E20" s="46"/>
      <c r="F20" s="46"/>
      <c r="G20" s="115" t="s">
        <v>368</v>
      </c>
      <c r="H20" s="116"/>
      <c r="I20" s="60"/>
      <c r="J20" s="533"/>
      <c r="K20" s="534"/>
      <c r="L20" s="534"/>
      <c r="M20" s="534"/>
      <c r="N20" s="534"/>
      <c r="O20" s="534"/>
      <c r="P20" s="534"/>
      <c r="Q20" s="534"/>
      <c r="R20" s="534"/>
      <c r="S20" s="535"/>
    </row>
    <row r="21" spans="1:19" x14ac:dyDescent="0.2">
      <c r="A21" s="46"/>
      <c r="B21" s="55" t="s">
        <v>369</v>
      </c>
      <c r="C21" s="53"/>
      <c r="D21" s="57">
        <f>'Expected Return'!P7</f>
        <v>0.104</v>
      </c>
      <c r="E21" s="23"/>
      <c r="F21" s="46"/>
      <c r="G21" s="46"/>
      <c r="H21" s="46"/>
      <c r="I21" s="46"/>
      <c r="J21" s="533"/>
      <c r="K21" s="534"/>
      <c r="L21" s="534"/>
      <c r="M21" s="534"/>
      <c r="N21" s="534"/>
      <c r="O21" s="534"/>
      <c r="P21" s="534"/>
      <c r="Q21" s="541"/>
      <c r="R21" s="535"/>
      <c r="S21" s="535"/>
    </row>
    <row r="22" spans="1:19" x14ac:dyDescent="0.2">
      <c r="A22" s="46"/>
      <c r="B22" s="55" t="s">
        <v>370</v>
      </c>
      <c r="C22" s="53"/>
      <c r="D22" s="57">
        <v>5.8400000000000001E-2</v>
      </c>
      <c r="E22" s="372">
        <f>D21-D20</f>
        <v>4.555E-2</v>
      </c>
      <c r="F22" s="46"/>
      <c r="G22" s="46"/>
      <c r="H22" s="46"/>
      <c r="I22" s="46"/>
      <c r="J22" s="533"/>
      <c r="K22" s="534"/>
      <c r="L22" s="534"/>
      <c r="M22" s="534"/>
      <c r="N22" s="534"/>
      <c r="O22" s="536"/>
      <c r="P22" s="534"/>
      <c r="Q22" s="534"/>
      <c r="R22" s="535"/>
      <c r="S22" s="535"/>
    </row>
    <row r="23" spans="1:19" ht="17" customHeight="1" thickBot="1" x14ac:dyDescent="0.25">
      <c r="A23" s="46"/>
      <c r="B23" s="55"/>
      <c r="C23" s="53"/>
      <c r="D23" s="75"/>
      <c r="E23" s="117"/>
      <c r="F23" s="46"/>
      <c r="G23" s="46"/>
      <c r="H23" s="46"/>
      <c r="I23" s="46"/>
      <c r="J23" s="533"/>
      <c r="K23" s="537"/>
      <c r="L23" s="537"/>
      <c r="M23" s="537"/>
      <c r="N23" s="537"/>
      <c r="O23" s="537"/>
      <c r="P23" s="537"/>
      <c r="Q23" s="537"/>
      <c r="R23" s="535"/>
      <c r="S23" s="535"/>
    </row>
    <row r="24" spans="1:19" x14ac:dyDescent="0.2">
      <c r="A24" s="46"/>
      <c r="B24" s="76" t="s">
        <v>365</v>
      </c>
      <c r="C24" s="66"/>
      <c r="D24" s="77">
        <f>D20+(D19*D22)</f>
        <v>0.10597638360250679</v>
      </c>
      <c r="E24" s="46"/>
      <c r="F24" s="529" t="s">
        <v>2427</v>
      </c>
      <c r="G24" s="530"/>
      <c r="H24" s="46"/>
      <c r="I24" s="46"/>
      <c r="J24" s="533"/>
      <c r="K24" s="535"/>
      <c r="L24" s="535"/>
      <c r="M24" s="535"/>
      <c r="N24" s="535"/>
      <c r="O24" s="535"/>
      <c r="P24" s="535"/>
      <c r="Q24" s="535"/>
      <c r="R24" s="542"/>
      <c r="S24" s="535"/>
    </row>
    <row r="25" spans="1:19" x14ac:dyDescent="0.2">
      <c r="A25" s="46"/>
      <c r="B25" s="76"/>
      <c r="C25" s="66"/>
      <c r="D25" s="66"/>
      <c r="E25" s="46"/>
      <c r="F25" s="431"/>
      <c r="G25" s="432"/>
      <c r="H25" s="46"/>
      <c r="I25" s="46"/>
      <c r="J25" s="533"/>
      <c r="K25" s="537"/>
      <c r="L25" s="537"/>
      <c r="M25" s="537"/>
      <c r="N25" s="537"/>
      <c r="O25" s="537"/>
      <c r="P25" s="537"/>
      <c r="Q25" s="537"/>
      <c r="R25" s="543"/>
      <c r="S25" s="538"/>
    </row>
    <row r="26" spans="1:19" x14ac:dyDescent="0.2">
      <c r="A26" s="46"/>
      <c r="B26" s="48" t="s">
        <v>371</v>
      </c>
      <c r="C26" s="49"/>
      <c r="D26" s="49"/>
      <c r="E26" s="46"/>
      <c r="F26" s="433" t="s">
        <v>2418</v>
      </c>
      <c r="G26" s="441"/>
      <c r="H26" s="46"/>
      <c r="I26" s="46"/>
      <c r="J26" s="533"/>
      <c r="K26" s="537"/>
      <c r="L26" s="537"/>
      <c r="M26" s="537"/>
      <c r="N26" s="537"/>
      <c r="O26" s="537"/>
      <c r="P26" s="537"/>
      <c r="Q26" s="537"/>
      <c r="R26" s="543"/>
      <c r="S26" s="538"/>
    </row>
    <row r="27" spans="1:19" x14ac:dyDescent="0.2">
      <c r="A27" s="46"/>
      <c r="B27" s="76" t="s">
        <v>190</v>
      </c>
      <c r="C27" s="76"/>
      <c r="D27" s="79">
        <f>D29-'Main LBO'!L17+'Main LBO'!L16</f>
        <v>1178.1917925</v>
      </c>
      <c r="E27" s="23"/>
      <c r="F27" s="434" t="s">
        <v>287</v>
      </c>
      <c r="G27" s="442">
        <f>'Main LBO'!H84</f>
        <v>0.19</v>
      </c>
      <c r="H27" s="46"/>
      <c r="I27" s="46"/>
      <c r="J27" s="539"/>
      <c r="K27" s="540"/>
      <c r="L27" s="540"/>
      <c r="M27" s="540"/>
      <c r="N27" s="540"/>
      <c r="O27" s="540"/>
      <c r="P27" s="540"/>
      <c r="Q27" s="540"/>
      <c r="R27" s="540"/>
      <c r="S27" s="540"/>
    </row>
    <row r="28" spans="1:19" x14ac:dyDescent="0.2">
      <c r="A28" s="46"/>
      <c r="B28" s="76"/>
      <c r="C28" s="76"/>
      <c r="D28" s="76"/>
      <c r="E28" s="46"/>
      <c r="F28" s="435" t="s">
        <v>189</v>
      </c>
      <c r="G28" s="443">
        <f>'Main LBO'!L16</f>
        <v>142.31100000000001</v>
      </c>
      <c r="H28" s="119"/>
      <c r="I28" s="46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x14ac:dyDescent="0.2">
      <c r="A29" s="46"/>
      <c r="B29" s="76" t="s">
        <v>248</v>
      </c>
      <c r="C29" s="76"/>
      <c r="D29" s="79">
        <f>'Main LBO'!E14</f>
        <v>1090.7507925</v>
      </c>
      <c r="E29" s="23"/>
      <c r="F29" s="436" t="s">
        <v>248</v>
      </c>
      <c r="G29" s="444">
        <f>'Main LBO'!E14</f>
        <v>1090.7507925</v>
      </c>
      <c r="H29" s="119"/>
      <c r="I29" s="46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x14ac:dyDescent="0.2">
      <c r="A30" s="46"/>
      <c r="B30" s="76" t="s">
        <v>372</v>
      </c>
      <c r="C30" s="76"/>
      <c r="D30" s="77">
        <f>D29/D27</f>
        <v>0.9257837301561409</v>
      </c>
      <c r="E30" s="119"/>
      <c r="F30" s="437" t="s">
        <v>2416</v>
      </c>
      <c r="G30" s="442">
        <f>G28/G29</f>
        <v>0.13047068219297214</v>
      </c>
      <c r="H30" s="46"/>
      <c r="I30" s="46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x14ac:dyDescent="0.2">
      <c r="A31" s="46"/>
      <c r="B31" s="76" t="s">
        <v>189</v>
      </c>
      <c r="C31" s="76"/>
      <c r="D31" s="79">
        <f>'Main LBO'!L16</f>
        <v>142.31100000000001</v>
      </c>
      <c r="E31" s="46"/>
      <c r="F31" s="434" t="s">
        <v>2417</v>
      </c>
      <c r="G31" s="445">
        <f>D19</f>
        <v>0.81380793839908894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 spans="1:19" x14ac:dyDescent="0.2">
      <c r="A32" s="46"/>
      <c r="B32" s="76" t="s">
        <v>372</v>
      </c>
      <c r="C32" s="76"/>
      <c r="D32" s="77">
        <f>D31/D27</f>
        <v>0.12078763483662615</v>
      </c>
      <c r="E32" s="46"/>
      <c r="F32" s="434" t="s">
        <v>2415</v>
      </c>
      <c r="G32" s="446">
        <f>G31/(1+(1-G27)*G30)</f>
        <v>0.73602400013825386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 spans="1:19" x14ac:dyDescent="0.2">
      <c r="A33" s="46"/>
      <c r="B33" s="76"/>
      <c r="C33" s="76"/>
      <c r="D33" s="76"/>
      <c r="E33" s="46"/>
      <c r="F33" s="434"/>
      <c r="G33" s="447"/>
      <c r="H33" s="46"/>
      <c r="I33" s="46"/>
    </row>
    <row r="34" spans="1:19" x14ac:dyDescent="0.2">
      <c r="A34" s="46"/>
      <c r="B34" s="76" t="s">
        <v>371</v>
      </c>
      <c r="C34" s="76"/>
      <c r="D34" s="81">
        <f>D30*D24+D32*D15</f>
        <v>0.10427011282648897</v>
      </c>
      <c r="E34" s="46"/>
      <c r="F34" s="438" t="s">
        <v>2430</v>
      </c>
      <c r="G34" s="448">
        <f>D20+(G32*D22)</f>
        <v>0.10143380160807403</v>
      </c>
      <c r="H34" s="46"/>
      <c r="S34" s="46"/>
    </row>
    <row r="35" spans="1:19" x14ac:dyDescent="0.2">
      <c r="F35" s="437"/>
      <c r="G35" s="456"/>
    </row>
    <row r="36" spans="1:19" ht="16" thickBot="1" x14ac:dyDescent="0.25">
      <c r="F36" s="437"/>
      <c r="G36" s="456"/>
    </row>
    <row r="37" spans="1:19" x14ac:dyDescent="0.2">
      <c r="F37" s="457" t="s">
        <v>342</v>
      </c>
      <c r="G37" s="458">
        <v>2025</v>
      </c>
      <c r="H37" s="459">
        <v>2026</v>
      </c>
      <c r="I37" s="458">
        <v>2027</v>
      </c>
      <c r="J37" s="460">
        <v>2028</v>
      </c>
      <c r="K37" s="461">
        <v>2029</v>
      </c>
    </row>
    <row r="38" spans="1:19" x14ac:dyDescent="0.2">
      <c r="F38" s="462" t="s">
        <v>347</v>
      </c>
      <c r="G38" s="449">
        <v>5.8500000000000003E-2</v>
      </c>
      <c r="H38" s="449">
        <v>5.8500000000000003E-2</v>
      </c>
      <c r="I38" s="449">
        <v>5.8500000000000003E-2</v>
      </c>
      <c r="J38" s="449">
        <v>5.8500000000000003E-2</v>
      </c>
      <c r="K38" s="463">
        <v>5.8500000000000003E-2</v>
      </c>
    </row>
    <row r="39" spans="1:19" x14ac:dyDescent="0.2">
      <c r="F39" s="462"/>
      <c r="G39" s="450"/>
      <c r="H39" s="451"/>
      <c r="I39" s="450"/>
      <c r="J39" s="439"/>
      <c r="K39" s="464"/>
    </row>
    <row r="40" spans="1:19" x14ac:dyDescent="0.2">
      <c r="F40" s="462" t="s">
        <v>30</v>
      </c>
      <c r="G40" s="452">
        <f>'Main LBO'!H74</f>
        <v>139.76762130477681</v>
      </c>
      <c r="H40" s="452">
        <f>'Main LBO'!I74</f>
        <v>162.55048004274045</v>
      </c>
      <c r="I40" s="452">
        <f>'Main LBO'!J74</f>
        <v>181.46714588249262</v>
      </c>
      <c r="J40" s="452">
        <f>'Main LBO'!K74</f>
        <v>200.33972905427186</v>
      </c>
      <c r="K40" s="465">
        <f>'Main LBO'!L74</f>
        <v>221.37540060497042</v>
      </c>
    </row>
    <row r="41" spans="1:19" x14ac:dyDescent="0.2">
      <c r="F41" s="462" t="s">
        <v>352</v>
      </c>
      <c r="G41" s="453">
        <f ca="1">'Main LBO'!H171</f>
        <v>75.793401601383081</v>
      </c>
      <c r="H41" s="453">
        <f ca="1">'Main LBO'!I171</f>
        <v>72.204029548108551</v>
      </c>
      <c r="I41" s="453">
        <f ca="1">'Main LBO'!J171</f>
        <v>66.641831772871882</v>
      </c>
      <c r="J41" s="453">
        <f ca="1">'Main LBO'!K171</f>
        <v>59.384306536157013</v>
      </c>
      <c r="K41" s="466">
        <f ca="1">'Main LBO'!L171</f>
        <v>50.417898887557044</v>
      </c>
      <c r="L41" s="34"/>
      <c r="M41" s="34"/>
    </row>
    <row r="42" spans="1:19" x14ac:dyDescent="0.2">
      <c r="F42" s="462" t="s">
        <v>354</v>
      </c>
      <c r="G42" s="454">
        <f ca="1">G40/G41</f>
        <v>1.8440605428933055</v>
      </c>
      <c r="H42" s="454">
        <f t="shared" ref="H42:K42" ca="1" si="1">H40/H41</f>
        <v>2.2512660451233586</v>
      </c>
      <c r="I42" s="454">
        <f t="shared" ca="1" si="1"/>
        <v>2.7230215775125659</v>
      </c>
      <c r="J42" s="454">
        <f t="shared" ca="1" si="1"/>
        <v>3.3736140192576309</v>
      </c>
      <c r="K42" s="467">
        <f t="shared" ca="1" si="1"/>
        <v>4.3908097221323334</v>
      </c>
    </row>
    <row r="43" spans="1:19" x14ac:dyDescent="0.2">
      <c r="F43" s="462" t="s">
        <v>356</v>
      </c>
      <c r="G43" s="449">
        <f ca="1">IF(G42&lt;$G$6,$H$5,IF(G42&lt;$G$7,$H$6,IF(G42&lt;$G$8,$H$7,IF(G42&lt;$G$9,$H$8,IF(G42&lt;$G$10,$H$9,IF(G42&lt;$G$11,$H$10,IF(G42&lt;$G$12,$H$11,IF(G42&lt;$G$13,$H$12,IF(G42&lt;$G$14,$H$13,IF(G42&lt;$G$15,$H$14,IF(G42&lt;$G$16,$H$15,IF(G42&lt;$G$17,$H$16,IF(G42&lt;$G$18,$H$17,IF(G42&lt;$G$19,$H$18,IF(G42&gt;$G$19,$H$19)))))))))))))))</f>
        <v>4.4200000000000003E-2</v>
      </c>
      <c r="H43" s="449">
        <f ca="1">IF(H42&lt;$G$6,$H$5,IF(H42&lt;$G$7,$H$6,IF(H42&lt;$G$8,$H$7,IF(H42&lt;$G$9,$H$8,IF(H42&lt;$G$10,$H$9,IF(H42&lt;$G$11,$H$10,IF(H42&lt;$G$12,$H$11,IF(H42&lt;$G$13,$H$12,IF(H42&lt;$G$14,$H$13,IF(H42&lt;$G$15,$H$14,IF(H42&lt;$G$16,$H$15,IF(H42&lt;$G$17,$H$16,IF(H42&lt;$G$18,$H$17,IF(H42&lt;$G$19,$H$18,IF(H42&gt;$G$19,$H$19)))))))))))))))</f>
        <v>0.03</v>
      </c>
      <c r="I43" s="449">
        <f t="shared" ref="I43:K43" ca="1" si="2">IF(I42&lt;$G$6,$H$5,IF(I42&lt;$G$7,$H$6,IF(I42&lt;$G$8,$H$7,IF(I42&lt;$G$9,$H$8,IF(I42&lt;$G$10,$H$9,IF(I42&lt;$G$11,$H$10,IF(I42&lt;$G$12,$H$11,IF(I42&lt;$G$13,$H$12,IF(I42&lt;$G$14,$H$13,IF(I42&lt;$G$15,$H$14,IF(I42&lt;$G$16,$H$15,IF(I42&lt;$G$17,$H$16,IF(I42&lt;$G$18,$H$17,IF(I42&lt;$G$19,$H$18,IF(I42&gt;$G$19,$H$19)))))))))))))))</f>
        <v>2.6100000000000002E-2</v>
      </c>
      <c r="J43" s="449">
        <f t="shared" ca="1" si="2"/>
        <v>1.83E-2</v>
      </c>
      <c r="K43" s="463">
        <f t="shared" ca="1" si="2"/>
        <v>1.2E-2</v>
      </c>
    </row>
    <row r="44" spans="1:19" x14ac:dyDescent="0.2">
      <c r="F44" s="462"/>
      <c r="G44" s="449"/>
      <c r="H44" s="451"/>
      <c r="I44" s="449"/>
      <c r="J44" s="439"/>
      <c r="K44" s="464"/>
    </row>
    <row r="45" spans="1:19" x14ac:dyDescent="0.2">
      <c r="F45" s="462" t="s">
        <v>359</v>
      </c>
      <c r="G45" s="455">
        <f ca="1">G43+G38</f>
        <v>0.10270000000000001</v>
      </c>
      <c r="H45" s="455">
        <f t="shared" ref="H45:K45" ca="1" si="3">H43+H38</f>
        <v>8.8499999999999995E-2</v>
      </c>
      <c r="I45" s="455">
        <f t="shared" ca="1" si="3"/>
        <v>8.4600000000000009E-2</v>
      </c>
      <c r="J45" s="455">
        <f t="shared" ca="1" si="3"/>
        <v>7.6800000000000007E-2</v>
      </c>
      <c r="K45" s="468">
        <f t="shared" ca="1" si="3"/>
        <v>7.0500000000000007E-2</v>
      </c>
    </row>
    <row r="46" spans="1:19" x14ac:dyDescent="0.2">
      <c r="F46" s="462" t="s">
        <v>287</v>
      </c>
      <c r="G46" s="449">
        <v>0.19</v>
      </c>
      <c r="H46" s="449">
        <v>0.19</v>
      </c>
      <c r="I46" s="449">
        <v>0.19</v>
      </c>
      <c r="J46" s="449">
        <v>0.19</v>
      </c>
      <c r="K46" s="463">
        <v>0.19</v>
      </c>
    </row>
    <row r="47" spans="1:19" x14ac:dyDescent="0.2">
      <c r="F47" s="462"/>
      <c r="G47" s="449"/>
      <c r="H47" s="449"/>
      <c r="I47" s="449"/>
      <c r="J47" s="449"/>
      <c r="K47" s="463"/>
    </row>
    <row r="48" spans="1:19" ht="16" thickBot="1" x14ac:dyDescent="0.25">
      <c r="F48" s="469" t="s">
        <v>363</v>
      </c>
      <c r="G48" s="470">
        <f ca="1">G45*(1-G46)</f>
        <v>8.3187000000000011E-2</v>
      </c>
      <c r="H48" s="470">
        <f t="shared" ref="H48:K48" ca="1" si="4">H45*(1-H46)</f>
        <v>7.1684999999999999E-2</v>
      </c>
      <c r="I48" s="470">
        <f t="shared" ca="1" si="4"/>
        <v>6.8526000000000017E-2</v>
      </c>
      <c r="J48" s="470">
        <f t="shared" ca="1" si="4"/>
        <v>6.2208000000000013E-2</v>
      </c>
      <c r="K48" s="471">
        <f t="shared" ca="1" si="4"/>
        <v>5.710500000000001E-2</v>
      </c>
    </row>
    <row r="50" spans="9:10" x14ac:dyDescent="0.2">
      <c r="J50" s="430"/>
    </row>
    <row r="51" spans="9:10" x14ac:dyDescent="0.2">
      <c r="I51" s="281"/>
      <c r="J51" s="430"/>
    </row>
    <row r="52" spans="9:10" x14ac:dyDescent="0.2">
      <c r="I52" s="281"/>
      <c r="J52" s="430"/>
    </row>
    <row r="53" spans="9:10" x14ac:dyDescent="0.2">
      <c r="I53" s="281"/>
      <c r="J53" s="430"/>
    </row>
    <row r="54" spans="9:10" x14ac:dyDescent="0.2">
      <c r="I54" s="115"/>
      <c r="J54" s="116"/>
    </row>
  </sheetData>
  <mergeCells count="1">
    <mergeCell ref="F24:G24"/>
  </mergeCells>
  <pageMargins left="0.7" right="0.7" top="0.75" bottom="0.75" header="0.3" footer="0.3"/>
  <ignoredErrors>
    <ignoredError sqref="K16:P16" formulaRange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E443-45D6-9D4D-B213-CB52232CB788}">
  <dimension ref="A1:O2595"/>
  <sheetViews>
    <sheetView showGridLines="0" zoomScale="112" zoomScaleNormal="100" workbookViewId="0">
      <selection activeCell="D1" sqref="D1:E1"/>
    </sheetView>
  </sheetViews>
  <sheetFormatPr baseColWidth="10" defaultColWidth="11.5" defaultRowHeight="15" x14ac:dyDescent="0.2"/>
  <cols>
    <col min="1" max="1" width="13" customWidth="1"/>
    <col min="2" max="2" width="13.5" customWidth="1"/>
    <col min="3" max="3" width="12.5" customWidth="1"/>
    <col min="4" max="4" width="16" customWidth="1"/>
    <col min="5" max="5" width="15.5" customWidth="1"/>
    <col min="6" max="6" width="14.5" customWidth="1"/>
  </cols>
  <sheetData>
    <row r="1" spans="1:9" x14ac:dyDescent="0.2">
      <c r="A1" s="82" t="s">
        <v>515</v>
      </c>
      <c r="B1" s="531" t="s">
        <v>237</v>
      </c>
      <c r="C1" s="531"/>
      <c r="D1" s="531" t="s">
        <v>516</v>
      </c>
      <c r="E1" s="531"/>
      <c r="F1" s="71"/>
      <c r="G1" s="46"/>
      <c r="H1" s="46"/>
      <c r="I1" s="46"/>
    </row>
    <row r="2" spans="1:9" x14ac:dyDescent="0.2">
      <c r="A2" s="83" t="s">
        <v>374</v>
      </c>
      <c r="B2" s="83" t="s">
        <v>237</v>
      </c>
      <c r="C2" s="83" t="s">
        <v>517</v>
      </c>
      <c r="D2" s="83" t="s">
        <v>375</v>
      </c>
      <c r="E2" s="83" t="s">
        <v>517</v>
      </c>
      <c r="F2" s="46"/>
      <c r="G2" s="46"/>
      <c r="H2" s="46"/>
      <c r="I2" s="46"/>
    </row>
    <row r="3" spans="1:9" x14ac:dyDescent="0.2">
      <c r="A3" s="105" t="s">
        <v>518</v>
      </c>
      <c r="B3" s="106">
        <v>327</v>
      </c>
      <c r="C3" s="87"/>
      <c r="D3" s="106">
        <v>97258.96</v>
      </c>
      <c r="E3" s="84"/>
      <c r="F3" s="85"/>
      <c r="G3" s="85"/>
      <c r="H3" s="85"/>
      <c r="I3" s="86"/>
    </row>
    <row r="4" spans="1:9" x14ac:dyDescent="0.2">
      <c r="A4" s="105" t="s">
        <v>519</v>
      </c>
      <c r="B4" s="106">
        <v>327</v>
      </c>
      <c r="C4" s="87">
        <f>LN(B4)-LN(B3)</f>
        <v>0</v>
      </c>
      <c r="D4" s="106">
        <v>98439.39</v>
      </c>
      <c r="E4" s="87">
        <f>LN(D4)-LN(D3)</f>
        <v>1.2063916905033167E-2</v>
      </c>
      <c r="F4" s="46"/>
      <c r="G4" s="47" t="s">
        <v>520</v>
      </c>
      <c r="H4" s="107">
        <f>H25</f>
        <v>0.44142381519726703</v>
      </c>
      <c r="I4" s="88"/>
    </row>
    <row r="5" spans="1:9" x14ac:dyDescent="0.2">
      <c r="A5" s="105" t="s">
        <v>521</v>
      </c>
      <c r="B5" s="106">
        <v>324</v>
      </c>
      <c r="C5" s="87">
        <f t="shared" ref="C5:C68" si="0">LN(B5)-LN(B4)</f>
        <v>-9.2166551049244205E-3</v>
      </c>
      <c r="D5" s="106">
        <v>98770.37</v>
      </c>
      <c r="E5" s="87">
        <f t="shared" ref="E5:E68" si="1">LN(D5)-LN(D4)</f>
        <v>3.3566321541282917E-3</v>
      </c>
      <c r="F5" s="89"/>
      <c r="G5" s="89"/>
      <c r="H5" s="89"/>
      <c r="I5" s="90"/>
    </row>
    <row r="6" spans="1:9" x14ac:dyDescent="0.2">
      <c r="A6" s="105" t="s">
        <v>522</v>
      </c>
      <c r="B6" s="106">
        <v>322</v>
      </c>
      <c r="C6" s="87">
        <f t="shared" si="0"/>
        <v>-6.1919702479205085E-3</v>
      </c>
      <c r="D6" s="106">
        <v>98011.87</v>
      </c>
      <c r="E6" s="87">
        <f t="shared" si="1"/>
        <v>-7.7090672049440201E-3</v>
      </c>
    </row>
    <row r="7" spans="1:9" x14ac:dyDescent="0.2">
      <c r="A7" s="105" t="s">
        <v>523</v>
      </c>
      <c r="B7" s="106">
        <v>320</v>
      </c>
      <c r="C7" s="87">
        <f t="shared" si="0"/>
        <v>-6.2305497506365271E-3</v>
      </c>
      <c r="D7" s="106">
        <v>97045.24</v>
      </c>
      <c r="E7" s="87">
        <f t="shared" si="1"/>
        <v>-9.9113322556867445E-3</v>
      </c>
    </row>
    <row r="8" spans="1:9" x14ac:dyDescent="0.2">
      <c r="A8" s="105" t="s">
        <v>524</v>
      </c>
      <c r="B8" s="106">
        <v>323.5</v>
      </c>
      <c r="C8" s="87">
        <f t="shared" si="0"/>
        <v>1.0878118147183535E-2</v>
      </c>
      <c r="D8" s="106">
        <v>94955.29</v>
      </c>
      <c r="E8" s="87">
        <f t="shared" si="1"/>
        <v>-2.1771112289339811E-2</v>
      </c>
      <c r="G8" t="s">
        <v>525</v>
      </c>
    </row>
    <row r="9" spans="1:9" ht="16" thickBot="1" x14ac:dyDescent="0.25">
      <c r="A9" s="105" t="s">
        <v>526</v>
      </c>
      <c r="B9" s="106">
        <v>322</v>
      </c>
      <c r="C9" s="87">
        <f t="shared" si="0"/>
        <v>-4.6475683965470083E-3</v>
      </c>
      <c r="D9" s="106">
        <v>93428.42</v>
      </c>
      <c r="E9" s="87">
        <f t="shared" si="1"/>
        <v>-1.6210567634328044E-2</v>
      </c>
    </row>
    <row r="10" spans="1:9" x14ac:dyDescent="0.2">
      <c r="A10" s="105" t="s">
        <v>527</v>
      </c>
      <c r="B10" s="106">
        <v>317</v>
      </c>
      <c r="C10" s="87">
        <f t="shared" si="0"/>
        <v>-1.5649771667128221E-2</v>
      </c>
      <c r="D10" s="106">
        <v>91991</v>
      </c>
      <c r="E10" s="87">
        <f t="shared" si="1"/>
        <v>-1.5504835428664876E-2</v>
      </c>
      <c r="G10" s="104" t="s">
        <v>528</v>
      </c>
      <c r="H10" s="104"/>
    </row>
    <row r="11" spans="1:9" x14ac:dyDescent="0.2">
      <c r="A11" s="105" t="s">
        <v>529</v>
      </c>
      <c r="B11" s="106">
        <v>325</v>
      </c>
      <c r="C11" s="87">
        <f t="shared" si="0"/>
        <v>2.4923408452456997E-2</v>
      </c>
      <c r="D11" s="106">
        <v>92203.3</v>
      </c>
      <c r="E11" s="87">
        <f t="shared" si="1"/>
        <v>2.3051755022880371E-3</v>
      </c>
      <c r="G11" t="s">
        <v>530</v>
      </c>
      <c r="H11">
        <v>0.16764045650060302</v>
      </c>
    </row>
    <row r="12" spans="1:9" x14ac:dyDescent="0.2">
      <c r="A12" s="105" t="s">
        <v>531</v>
      </c>
      <c r="B12" s="106">
        <v>328</v>
      </c>
      <c r="C12" s="87">
        <f t="shared" si="0"/>
        <v>9.1884260544068397E-3</v>
      </c>
      <c r="D12" s="106">
        <v>93611.8</v>
      </c>
      <c r="E12" s="87">
        <f t="shared" si="1"/>
        <v>1.5160522234577201E-2</v>
      </c>
      <c r="G12" t="s">
        <v>532</v>
      </c>
      <c r="H12">
        <v>2.8103322655730571E-2</v>
      </c>
    </row>
    <row r="13" spans="1:9" x14ac:dyDescent="0.2">
      <c r="A13" s="105" t="s">
        <v>533</v>
      </c>
      <c r="B13" s="106">
        <v>326.5</v>
      </c>
      <c r="C13" s="87">
        <f t="shared" si="0"/>
        <v>-4.5836596676585017E-3</v>
      </c>
      <c r="D13" s="106">
        <v>93444.96</v>
      </c>
      <c r="E13" s="87">
        <f t="shared" si="1"/>
        <v>-1.7838440507773612E-3</v>
      </c>
      <c r="G13" t="s">
        <v>534</v>
      </c>
      <c r="H13">
        <v>2.7596069692607257E-2</v>
      </c>
    </row>
    <row r="14" spans="1:9" x14ac:dyDescent="0.2">
      <c r="A14" s="105" t="s">
        <v>535</v>
      </c>
      <c r="B14" s="106">
        <v>330</v>
      </c>
      <c r="C14" s="87">
        <f t="shared" si="0"/>
        <v>1.0662705744040046E-2</v>
      </c>
      <c r="D14" s="106">
        <v>92060.85</v>
      </c>
      <c r="E14" s="87">
        <f t="shared" si="1"/>
        <v>-1.492282840757575E-2</v>
      </c>
      <c r="G14" t="s">
        <v>536</v>
      </c>
      <c r="H14">
        <v>3.592152520534575E-2</v>
      </c>
    </row>
    <row r="15" spans="1:9" ht="16" thickBot="1" x14ac:dyDescent="0.25">
      <c r="A15" s="105" t="s">
        <v>537</v>
      </c>
      <c r="B15" s="106">
        <v>325</v>
      </c>
      <c r="C15" s="87">
        <f t="shared" si="0"/>
        <v>-1.5267472130788384E-2</v>
      </c>
      <c r="D15" s="106">
        <v>89280.31</v>
      </c>
      <c r="E15" s="87">
        <f t="shared" si="1"/>
        <v>-3.0668800606116875E-2</v>
      </c>
      <c r="G15" s="102" t="s">
        <v>538</v>
      </c>
      <c r="H15" s="102">
        <v>1918</v>
      </c>
    </row>
    <row r="16" spans="1:9" x14ac:dyDescent="0.2">
      <c r="A16" s="105" t="s">
        <v>539</v>
      </c>
      <c r="B16" s="106">
        <v>337</v>
      </c>
      <c r="C16" s="87">
        <f t="shared" si="0"/>
        <v>3.625774802262427E-2</v>
      </c>
      <c r="D16" s="106">
        <v>92526.5</v>
      </c>
      <c r="E16" s="87">
        <f t="shared" si="1"/>
        <v>3.5714119126254218E-2</v>
      </c>
    </row>
    <row r="17" spans="1:15" ht="16" thickBot="1" x14ac:dyDescent="0.25">
      <c r="A17" s="105" t="s">
        <v>540</v>
      </c>
      <c r="B17" s="106">
        <v>333.5</v>
      </c>
      <c r="C17" s="87">
        <f t="shared" si="0"/>
        <v>-1.0440064996683596E-2</v>
      </c>
      <c r="D17" s="106">
        <v>91996.4</v>
      </c>
      <c r="E17" s="87">
        <f t="shared" si="1"/>
        <v>-5.7456441268062264E-3</v>
      </c>
      <c r="G17" t="s">
        <v>541</v>
      </c>
    </row>
    <row r="18" spans="1:15" x14ac:dyDescent="0.2">
      <c r="A18" s="105" t="s">
        <v>542</v>
      </c>
      <c r="B18" s="106">
        <v>338</v>
      </c>
      <c r="C18" s="87">
        <f t="shared" si="0"/>
        <v>1.3403030127340898E-2</v>
      </c>
      <c r="D18" s="106">
        <v>92380.21</v>
      </c>
      <c r="E18" s="87">
        <f t="shared" si="1"/>
        <v>4.1633323705436709E-3</v>
      </c>
      <c r="G18" s="103"/>
      <c r="H18" s="103" t="s">
        <v>543</v>
      </c>
      <c r="I18" s="103" t="s">
        <v>544</v>
      </c>
      <c r="J18" s="103" t="s">
        <v>545</v>
      </c>
      <c r="K18" s="103" t="s">
        <v>546</v>
      </c>
      <c r="L18" s="103" t="s">
        <v>547</v>
      </c>
    </row>
    <row r="19" spans="1:15" x14ac:dyDescent="0.2">
      <c r="A19" s="105" t="s">
        <v>548</v>
      </c>
      <c r="B19" s="106">
        <v>346</v>
      </c>
      <c r="C19" s="87">
        <f t="shared" si="0"/>
        <v>2.3392879574705816E-2</v>
      </c>
      <c r="D19" s="106">
        <v>93267.22</v>
      </c>
      <c r="E19" s="87">
        <f t="shared" si="1"/>
        <v>9.5559281356347725E-3</v>
      </c>
      <c r="G19" t="s">
        <v>549</v>
      </c>
      <c r="H19">
        <v>1</v>
      </c>
      <c r="I19">
        <v>7.1489558245030338E-2</v>
      </c>
      <c r="J19">
        <v>7.1489558245030338E-2</v>
      </c>
      <c r="K19">
        <v>55.402973858821234</v>
      </c>
      <c r="L19">
        <v>1.4752110961201036E-13</v>
      </c>
    </row>
    <row r="20" spans="1:15" x14ac:dyDescent="0.2">
      <c r="A20" s="105" t="s">
        <v>550</v>
      </c>
      <c r="B20" s="106">
        <v>345</v>
      </c>
      <c r="C20" s="87">
        <f t="shared" si="0"/>
        <v>-2.8943580263645075E-3</v>
      </c>
      <c r="D20" s="106">
        <v>91730.25</v>
      </c>
      <c r="E20" s="87">
        <f t="shared" si="1"/>
        <v>-1.661650144724014E-2</v>
      </c>
      <c r="G20" t="s">
        <v>551</v>
      </c>
      <c r="H20">
        <v>1916</v>
      </c>
      <c r="I20">
        <v>2.4723220444180036</v>
      </c>
      <c r="J20">
        <v>1.29035597307829E-3</v>
      </c>
    </row>
    <row r="21" spans="1:15" ht="16" thickBot="1" x14ac:dyDescent="0.25">
      <c r="A21" s="105" t="s">
        <v>552</v>
      </c>
      <c r="B21" s="106">
        <v>351</v>
      </c>
      <c r="C21" s="87">
        <f t="shared" si="0"/>
        <v>1.7241806434505236E-2</v>
      </c>
      <c r="D21" s="106">
        <v>91306.52</v>
      </c>
      <c r="E21" s="87">
        <f t="shared" si="1"/>
        <v>-4.630006932014652E-3</v>
      </c>
      <c r="G21" s="102" t="s">
        <v>270</v>
      </c>
      <c r="H21" s="102">
        <v>1917</v>
      </c>
      <c r="I21" s="102">
        <v>2.543811602663034</v>
      </c>
      <c r="J21" s="102"/>
      <c r="K21" s="102"/>
      <c r="L21" s="102"/>
    </row>
    <row r="22" spans="1:15" ht="16" thickBot="1" x14ac:dyDescent="0.25">
      <c r="A22" s="105" t="s">
        <v>553</v>
      </c>
      <c r="B22" s="106">
        <v>350</v>
      </c>
      <c r="C22" s="87">
        <f t="shared" si="0"/>
        <v>-2.8530689824064481E-3</v>
      </c>
      <c r="D22" s="106">
        <v>93117.48</v>
      </c>
      <c r="E22" s="87">
        <f t="shared" si="1"/>
        <v>1.9639723785711993E-2</v>
      </c>
    </row>
    <row r="23" spans="1:15" x14ac:dyDescent="0.2">
      <c r="A23" s="105" t="s">
        <v>554</v>
      </c>
      <c r="B23" s="106">
        <v>342</v>
      </c>
      <c r="C23" s="87">
        <f t="shared" si="0"/>
        <v>-2.3122417420854191E-2</v>
      </c>
      <c r="D23" s="106">
        <v>92958.43</v>
      </c>
      <c r="E23" s="87">
        <f t="shared" si="1"/>
        <v>-1.7095177848069909E-3</v>
      </c>
      <c r="G23" s="103"/>
      <c r="H23" s="103" t="s">
        <v>555</v>
      </c>
      <c r="I23" s="103" t="s">
        <v>536</v>
      </c>
      <c r="J23" s="103" t="s">
        <v>556</v>
      </c>
      <c r="K23" s="103" t="s">
        <v>557</v>
      </c>
      <c r="L23" s="103" t="s">
        <v>558</v>
      </c>
      <c r="M23" s="103" t="s">
        <v>559</v>
      </c>
      <c r="N23" s="103" t="s">
        <v>560</v>
      </c>
      <c r="O23" s="103" t="s">
        <v>561</v>
      </c>
    </row>
    <row r="24" spans="1:15" x14ac:dyDescent="0.2">
      <c r="A24" s="105" t="s">
        <v>562</v>
      </c>
      <c r="B24" s="106">
        <v>347</v>
      </c>
      <c r="C24" s="87">
        <f t="shared" si="0"/>
        <v>1.4514042884254508E-2</v>
      </c>
      <c r="D24" s="106">
        <v>93461.23</v>
      </c>
      <c r="E24" s="87">
        <f t="shared" si="1"/>
        <v>5.3942939196716111E-3</v>
      </c>
      <c r="G24" t="s">
        <v>563</v>
      </c>
      <c r="H24">
        <v>-1.4710652844264214E-3</v>
      </c>
      <c r="I24">
        <v>8.2043355870619109E-4</v>
      </c>
      <c r="J24">
        <v>-1.7930340230673458</v>
      </c>
      <c r="K24">
        <v>7.3125159429117154E-2</v>
      </c>
      <c r="L24">
        <v>-3.0801019517499523E-3</v>
      </c>
      <c r="M24">
        <v>1.3797138289710966E-4</v>
      </c>
      <c r="N24">
        <v>-3.0801019517499523E-3</v>
      </c>
      <c r="O24">
        <v>1.3797138289710966E-4</v>
      </c>
    </row>
    <row r="25" spans="1:15" ht="16" thickBot="1" x14ac:dyDescent="0.25">
      <c r="A25" s="105" t="s">
        <v>564</v>
      </c>
      <c r="B25" s="106">
        <v>352</v>
      </c>
      <c r="C25" s="87">
        <f t="shared" si="0"/>
        <v>1.430639565123748E-2</v>
      </c>
      <c r="D25" s="106">
        <v>94650.54</v>
      </c>
      <c r="E25" s="87">
        <f t="shared" si="1"/>
        <v>1.2644884972708326E-2</v>
      </c>
      <c r="G25" s="102" t="s">
        <v>565</v>
      </c>
      <c r="H25" s="102">
        <v>0.44142381519726703</v>
      </c>
      <c r="I25" s="102">
        <v>5.9304714780749695E-2</v>
      </c>
      <c r="J25" s="102">
        <v>7.4433173960825316</v>
      </c>
      <c r="K25" s="102">
        <v>1.4752110961174854E-13</v>
      </c>
      <c r="L25" s="102">
        <v>0.32511523711097917</v>
      </c>
      <c r="M25" s="102">
        <v>0.55773239328355484</v>
      </c>
      <c r="N25" s="102">
        <v>0.32511523711097917</v>
      </c>
      <c r="O25" s="102">
        <v>0.55773239328355484</v>
      </c>
    </row>
    <row r="26" spans="1:15" x14ac:dyDescent="0.2">
      <c r="A26" s="105" t="s">
        <v>566</v>
      </c>
      <c r="B26" s="106">
        <v>353</v>
      </c>
      <c r="C26" s="87">
        <f t="shared" si="0"/>
        <v>2.8368813351997701E-3</v>
      </c>
      <c r="D26" s="106">
        <v>92461.23</v>
      </c>
      <c r="E26" s="87">
        <f t="shared" si="1"/>
        <v>-2.3402161347290118E-2</v>
      </c>
    </row>
    <row r="27" spans="1:15" x14ac:dyDescent="0.2">
      <c r="A27" s="105" t="s">
        <v>567</v>
      </c>
      <c r="B27" s="106">
        <v>365.5</v>
      </c>
      <c r="C27" s="87">
        <f t="shared" si="0"/>
        <v>3.4798222256537059E-2</v>
      </c>
      <c r="D27" s="106">
        <v>91788.05</v>
      </c>
      <c r="E27" s="87">
        <f t="shared" si="1"/>
        <v>-7.3073066604631975E-3</v>
      </c>
    </row>
    <row r="28" spans="1:15" x14ac:dyDescent="0.2">
      <c r="A28" s="105" t="s">
        <v>568</v>
      </c>
      <c r="B28" s="106">
        <v>365</v>
      </c>
      <c r="C28" s="87">
        <f t="shared" si="0"/>
        <v>-1.3689256073421419E-3</v>
      </c>
      <c r="D28" s="106">
        <v>92342.43</v>
      </c>
      <c r="E28" s="87">
        <f t="shared" si="1"/>
        <v>6.021617660964651E-3</v>
      </c>
    </row>
    <row r="29" spans="1:15" x14ac:dyDescent="0.2">
      <c r="A29" s="105" t="s">
        <v>569</v>
      </c>
      <c r="B29" s="106">
        <v>366.5</v>
      </c>
      <c r="C29" s="87">
        <f t="shared" si="0"/>
        <v>4.101167744214429E-3</v>
      </c>
      <c r="D29" s="106">
        <v>91778.14</v>
      </c>
      <c r="E29" s="87">
        <f t="shared" si="1"/>
        <v>-6.1295896138577888E-3</v>
      </c>
    </row>
    <row r="30" spans="1:15" x14ac:dyDescent="0.2">
      <c r="A30" s="105" t="s">
        <v>570</v>
      </c>
      <c r="B30" s="106">
        <v>365.5</v>
      </c>
      <c r="C30" s="87">
        <f t="shared" si="0"/>
        <v>-2.7322421368722871E-3</v>
      </c>
      <c r="D30" s="106">
        <v>90993.39</v>
      </c>
      <c r="E30" s="87">
        <f t="shared" si="1"/>
        <v>-8.5872763922125728E-3</v>
      </c>
    </row>
    <row r="31" spans="1:15" x14ac:dyDescent="0.2">
      <c r="A31" s="105" t="s">
        <v>571</v>
      </c>
      <c r="B31" s="106">
        <v>369.5</v>
      </c>
      <c r="C31" s="87">
        <f t="shared" si="0"/>
        <v>1.0884461198422457E-2</v>
      </c>
      <c r="D31" s="106">
        <v>89895.48</v>
      </c>
      <c r="E31" s="87">
        <f t="shared" si="1"/>
        <v>-1.213920438916638E-2</v>
      </c>
    </row>
    <row r="32" spans="1:15" x14ac:dyDescent="0.2">
      <c r="A32" s="105" t="s">
        <v>572</v>
      </c>
      <c r="B32" s="106">
        <v>366</v>
      </c>
      <c r="C32" s="87">
        <f t="shared" si="0"/>
        <v>-9.5174069868901867E-3</v>
      </c>
      <c r="D32" s="106">
        <v>89150.14</v>
      </c>
      <c r="E32" s="87">
        <f t="shared" si="1"/>
        <v>-8.3257474319218261E-3</v>
      </c>
    </row>
    <row r="33" spans="1:5" x14ac:dyDescent="0.2">
      <c r="A33" s="105" t="s">
        <v>573</v>
      </c>
      <c r="B33" s="106">
        <v>369</v>
      </c>
      <c r="C33" s="87">
        <f t="shared" si="0"/>
        <v>8.1633106391612031E-3</v>
      </c>
      <c r="D33" s="106">
        <v>88376.12</v>
      </c>
      <c r="E33" s="87">
        <f t="shared" si="1"/>
        <v>-8.7201172911459679E-3</v>
      </c>
    </row>
    <row r="34" spans="1:5" x14ac:dyDescent="0.2">
      <c r="A34" s="105" t="s">
        <v>574</v>
      </c>
      <c r="B34" s="106">
        <v>360</v>
      </c>
      <c r="C34" s="87">
        <f t="shared" si="0"/>
        <v>-2.4692612590371255E-2</v>
      </c>
      <c r="D34" s="106">
        <v>86131.83</v>
      </c>
      <c r="E34" s="87">
        <f t="shared" si="1"/>
        <v>-2.5722767876107611E-2</v>
      </c>
    </row>
    <row r="35" spans="1:5" x14ac:dyDescent="0.2">
      <c r="A35" s="105" t="s">
        <v>575</v>
      </c>
      <c r="B35" s="106">
        <v>360</v>
      </c>
      <c r="C35" s="87">
        <f t="shared" si="0"/>
        <v>0</v>
      </c>
      <c r="D35" s="106">
        <v>86793.21</v>
      </c>
      <c r="E35" s="87">
        <f t="shared" si="1"/>
        <v>7.649363272404841E-3</v>
      </c>
    </row>
    <row r="36" spans="1:5" x14ac:dyDescent="0.2">
      <c r="A36" s="105" t="s">
        <v>576</v>
      </c>
      <c r="B36" s="106">
        <v>358</v>
      </c>
      <c r="C36" s="87">
        <f t="shared" si="0"/>
        <v>-5.5710450494554919E-3</v>
      </c>
      <c r="D36" s="106">
        <v>85963.68</v>
      </c>
      <c r="E36" s="87">
        <f t="shared" si="1"/>
        <v>-9.603511332507253E-3</v>
      </c>
    </row>
    <row r="37" spans="1:5" x14ac:dyDescent="0.2">
      <c r="A37" s="105" t="s">
        <v>577</v>
      </c>
      <c r="B37" s="106">
        <v>365</v>
      </c>
      <c r="C37" s="87">
        <f t="shared" si="0"/>
        <v>1.9364367181791131E-2</v>
      </c>
      <c r="D37" s="106">
        <v>87367.57</v>
      </c>
      <c r="E37" s="87">
        <f t="shared" si="1"/>
        <v>1.6199279705300995E-2</v>
      </c>
    </row>
    <row r="38" spans="1:5" x14ac:dyDescent="0.2">
      <c r="A38" s="105" t="s">
        <v>578</v>
      </c>
      <c r="B38" s="106">
        <v>365</v>
      </c>
      <c r="C38" s="87">
        <f t="shared" si="0"/>
        <v>0</v>
      </c>
      <c r="D38" s="106">
        <v>87612.13</v>
      </c>
      <c r="E38" s="87">
        <f t="shared" si="1"/>
        <v>2.7952975030007821E-3</v>
      </c>
    </row>
    <row r="39" spans="1:5" x14ac:dyDescent="0.2">
      <c r="A39" s="105" t="s">
        <v>579</v>
      </c>
      <c r="B39" s="106">
        <v>360</v>
      </c>
      <c r="C39" s="87">
        <f t="shared" si="0"/>
        <v>-1.3793322132335639E-2</v>
      </c>
      <c r="D39" s="106">
        <v>86203.19</v>
      </c>
      <c r="E39" s="87">
        <f t="shared" si="1"/>
        <v>-1.6212274730387222E-2</v>
      </c>
    </row>
    <row r="40" spans="1:5" x14ac:dyDescent="0.2">
      <c r="A40" s="105" t="s">
        <v>580</v>
      </c>
      <c r="B40" s="106">
        <v>354</v>
      </c>
      <c r="C40" s="87">
        <f t="shared" si="0"/>
        <v>-1.6807118316381597E-2</v>
      </c>
      <c r="D40" s="106">
        <v>86194.5</v>
      </c>
      <c r="E40" s="87">
        <f t="shared" si="1"/>
        <v>-1.0081341585532755E-4</v>
      </c>
    </row>
    <row r="41" spans="1:5" x14ac:dyDescent="0.2">
      <c r="A41" s="105" t="s">
        <v>581</v>
      </c>
      <c r="B41" s="106">
        <v>352</v>
      </c>
      <c r="C41" s="87">
        <f t="shared" si="0"/>
        <v>-5.6657375356774509E-3</v>
      </c>
      <c r="D41" s="106">
        <v>85548.18</v>
      </c>
      <c r="E41" s="87">
        <f t="shared" si="1"/>
        <v>-7.5266445264112747E-3</v>
      </c>
    </row>
    <row r="42" spans="1:5" x14ac:dyDescent="0.2">
      <c r="A42" s="105" t="s">
        <v>582</v>
      </c>
      <c r="B42" s="106">
        <v>353</v>
      </c>
      <c r="C42" s="87">
        <f t="shared" si="0"/>
        <v>2.8368813351997701E-3</v>
      </c>
      <c r="D42" s="106">
        <v>85840.78</v>
      </c>
      <c r="E42" s="87">
        <f t="shared" si="1"/>
        <v>3.4144589508429135E-3</v>
      </c>
    </row>
    <row r="43" spans="1:5" x14ac:dyDescent="0.2">
      <c r="A43" s="105" t="s">
        <v>583</v>
      </c>
      <c r="B43" s="106">
        <v>353.5</v>
      </c>
      <c r="C43" s="87">
        <f t="shared" si="0"/>
        <v>1.4154284033311981E-3</v>
      </c>
      <c r="D43" s="106">
        <v>85248.16</v>
      </c>
      <c r="E43" s="87">
        <f t="shared" si="1"/>
        <v>-6.9276526010551009E-3</v>
      </c>
    </row>
    <row r="44" spans="1:5" x14ac:dyDescent="0.2">
      <c r="A44" s="105" t="s">
        <v>584</v>
      </c>
      <c r="B44" s="106">
        <v>351</v>
      </c>
      <c r="C44" s="87">
        <f t="shared" si="0"/>
        <v>-7.097261870762317E-3</v>
      </c>
      <c r="D44" s="106">
        <v>85298.3</v>
      </c>
      <c r="E44" s="87">
        <f t="shared" si="1"/>
        <v>5.8799228602701703E-4</v>
      </c>
    </row>
    <row r="45" spans="1:5" x14ac:dyDescent="0.2">
      <c r="A45" s="105" t="s">
        <v>585</v>
      </c>
      <c r="B45" s="106">
        <v>351.5</v>
      </c>
      <c r="C45" s="87">
        <f t="shared" si="0"/>
        <v>1.4234877848542382E-3</v>
      </c>
      <c r="D45" s="106">
        <v>84425.62</v>
      </c>
      <c r="E45" s="87">
        <f t="shared" si="1"/>
        <v>-1.0283614598076696E-2</v>
      </c>
    </row>
    <row r="46" spans="1:5" x14ac:dyDescent="0.2">
      <c r="A46" s="105" t="s">
        <v>586</v>
      </c>
      <c r="B46" s="106">
        <v>352</v>
      </c>
      <c r="C46" s="87">
        <f t="shared" si="0"/>
        <v>1.4214643473771105E-3</v>
      </c>
      <c r="D46" s="106">
        <v>84254.98</v>
      </c>
      <c r="E46" s="87">
        <f t="shared" si="1"/>
        <v>-2.0232327630935742E-3</v>
      </c>
    </row>
    <row r="47" spans="1:5" x14ac:dyDescent="0.2">
      <c r="A47" s="105" t="s">
        <v>587</v>
      </c>
      <c r="B47" s="106">
        <v>351.5</v>
      </c>
      <c r="C47" s="87">
        <f t="shared" si="0"/>
        <v>-1.4214643473771105E-3</v>
      </c>
      <c r="D47" s="106">
        <v>83676.42</v>
      </c>
      <c r="E47" s="87">
        <f t="shared" si="1"/>
        <v>-6.8904599031736069E-3</v>
      </c>
    </row>
    <row r="48" spans="1:5" x14ac:dyDescent="0.2">
      <c r="A48" s="105" t="s">
        <v>588</v>
      </c>
      <c r="B48" s="106">
        <v>353.5</v>
      </c>
      <c r="C48" s="87">
        <f t="shared" si="0"/>
        <v>5.6737740859080787E-3</v>
      </c>
      <c r="D48" s="106">
        <v>82705.759999999995</v>
      </c>
      <c r="E48" s="87">
        <f t="shared" si="1"/>
        <v>-1.1667968435478571E-2</v>
      </c>
    </row>
    <row r="49" spans="1:5" x14ac:dyDescent="0.2">
      <c r="A49" s="105" t="s">
        <v>589</v>
      </c>
      <c r="B49" s="106">
        <v>351</v>
      </c>
      <c r="C49" s="87">
        <f t="shared" si="0"/>
        <v>-7.097261870762317E-3</v>
      </c>
      <c r="D49" s="106">
        <v>82883.69</v>
      </c>
      <c r="E49" s="87">
        <f t="shared" si="1"/>
        <v>2.1490507816732674E-3</v>
      </c>
    </row>
    <row r="50" spans="1:5" x14ac:dyDescent="0.2">
      <c r="A50" s="105" t="s">
        <v>590</v>
      </c>
      <c r="B50" s="106">
        <v>351</v>
      </c>
      <c r="C50" s="87">
        <f t="shared" si="0"/>
        <v>0</v>
      </c>
      <c r="D50" s="106">
        <v>81464.240000000005</v>
      </c>
      <c r="E50" s="87">
        <f t="shared" si="1"/>
        <v>-1.7274148769221398E-2</v>
      </c>
    </row>
    <row r="51" spans="1:5" x14ac:dyDescent="0.2">
      <c r="A51" s="105" t="s">
        <v>591</v>
      </c>
      <c r="B51" s="106">
        <v>345</v>
      </c>
      <c r="C51" s="87">
        <f t="shared" si="0"/>
        <v>-1.7241806434505236E-2</v>
      </c>
      <c r="D51" s="106">
        <v>80971.81</v>
      </c>
      <c r="E51" s="87">
        <f t="shared" si="1"/>
        <v>-6.0630815452071829E-3</v>
      </c>
    </row>
    <row r="52" spans="1:5" x14ac:dyDescent="0.2">
      <c r="A52" s="105" t="s">
        <v>592</v>
      </c>
      <c r="B52" s="106">
        <v>351</v>
      </c>
      <c r="C52" s="87">
        <f t="shared" si="0"/>
        <v>1.7241806434505236E-2</v>
      </c>
      <c r="D52" s="106">
        <v>82210.47</v>
      </c>
      <c r="E52" s="87">
        <f t="shared" si="1"/>
        <v>1.5181596807316566E-2</v>
      </c>
    </row>
    <row r="53" spans="1:5" x14ac:dyDescent="0.2">
      <c r="A53" s="105" t="s">
        <v>593</v>
      </c>
      <c r="B53" s="106">
        <v>350</v>
      </c>
      <c r="C53" s="87">
        <f t="shared" si="0"/>
        <v>-2.8530689824064481E-3</v>
      </c>
      <c r="D53" s="106">
        <v>81857.119999999995</v>
      </c>
      <c r="E53" s="87">
        <f t="shared" si="1"/>
        <v>-4.3073777864748308E-3</v>
      </c>
    </row>
    <row r="54" spans="1:5" x14ac:dyDescent="0.2">
      <c r="A54" s="105" t="s">
        <v>594</v>
      </c>
      <c r="B54" s="106">
        <v>345</v>
      </c>
      <c r="C54" s="87">
        <f t="shared" si="0"/>
        <v>-1.4388737452098788E-2</v>
      </c>
      <c r="D54" s="106">
        <v>81250.710000000006</v>
      </c>
      <c r="E54" s="87">
        <f t="shared" si="1"/>
        <v>-7.4357287940696182E-3</v>
      </c>
    </row>
    <row r="55" spans="1:5" x14ac:dyDescent="0.2">
      <c r="A55" s="105" t="s">
        <v>595</v>
      </c>
      <c r="B55" s="106">
        <v>348</v>
      </c>
      <c r="C55" s="87">
        <f t="shared" si="0"/>
        <v>8.6580627431143142E-3</v>
      </c>
      <c r="D55" s="106">
        <v>82190.399999999994</v>
      </c>
      <c r="E55" s="87">
        <f t="shared" si="1"/>
        <v>1.1498947287474692E-2</v>
      </c>
    </row>
    <row r="56" spans="1:5" x14ac:dyDescent="0.2">
      <c r="A56" s="105" t="s">
        <v>596</v>
      </c>
      <c r="B56" s="106">
        <v>339</v>
      </c>
      <c r="C56" s="87">
        <f t="shared" si="0"/>
        <v>-2.6202372394024565E-2</v>
      </c>
      <c r="D56" s="106">
        <v>81444.58</v>
      </c>
      <c r="E56" s="87">
        <f t="shared" si="1"/>
        <v>-9.1157179787266784E-3</v>
      </c>
    </row>
    <row r="57" spans="1:5" x14ac:dyDescent="0.2">
      <c r="A57" s="105" t="s">
        <v>597</v>
      </c>
      <c r="B57" s="106">
        <v>335</v>
      </c>
      <c r="C57" s="87">
        <f t="shared" si="0"/>
        <v>-1.1869575555383705E-2</v>
      </c>
      <c r="D57" s="106">
        <v>80936.61</v>
      </c>
      <c r="E57" s="87">
        <f t="shared" si="1"/>
        <v>-6.2565332475514879E-3</v>
      </c>
    </row>
    <row r="58" spans="1:5" x14ac:dyDescent="0.2">
      <c r="A58" s="105" t="s">
        <v>598</v>
      </c>
      <c r="B58" s="106">
        <v>327.5</v>
      </c>
      <c r="C58" s="87">
        <f t="shared" si="0"/>
        <v>-2.2642476749759943E-2</v>
      </c>
      <c r="D58" s="106">
        <v>79577.320000000007</v>
      </c>
      <c r="E58" s="87">
        <f t="shared" si="1"/>
        <v>-1.6937128065912077E-2</v>
      </c>
    </row>
    <row r="59" spans="1:5" x14ac:dyDescent="0.2">
      <c r="A59" s="105" t="s">
        <v>599</v>
      </c>
      <c r="B59" s="106">
        <v>329</v>
      </c>
      <c r="C59" s="87">
        <f t="shared" si="0"/>
        <v>4.5696956900656005E-3</v>
      </c>
      <c r="D59" s="106">
        <v>79842.52</v>
      </c>
      <c r="E59" s="87">
        <f t="shared" si="1"/>
        <v>3.3270670028660021E-3</v>
      </c>
    </row>
    <row r="60" spans="1:5" x14ac:dyDescent="0.2">
      <c r="A60" s="105" t="s">
        <v>600</v>
      </c>
      <c r="B60" s="106">
        <v>326</v>
      </c>
      <c r="C60" s="87">
        <f t="shared" si="0"/>
        <v>-9.1603693986641588E-3</v>
      </c>
      <c r="D60" s="106">
        <v>79617.279999999999</v>
      </c>
      <c r="E60" s="87">
        <f t="shared" si="1"/>
        <v>-2.8250399135139048E-3</v>
      </c>
    </row>
    <row r="61" spans="1:5" x14ac:dyDescent="0.2">
      <c r="A61" s="105" t="s">
        <v>601</v>
      </c>
      <c r="B61" s="106">
        <v>322</v>
      </c>
      <c r="C61" s="87">
        <f t="shared" si="0"/>
        <v>-1.23458358222992E-2</v>
      </c>
      <c r="D61" s="106">
        <v>79474.16</v>
      </c>
      <c r="E61" s="87">
        <f t="shared" si="1"/>
        <v>-1.799217338266601E-3</v>
      </c>
    </row>
    <row r="62" spans="1:5" x14ac:dyDescent="0.2">
      <c r="A62" s="105" t="s">
        <v>602</v>
      </c>
      <c r="B62" s="106">
        <v>321</v>
      </c>
      <c r="C62" s="87">
        <f t="shared" si="0"/>
        <v>-3.1104224143927439E-3</v>
      </c>
      <c r="D62" s="106">
        <v>80166.77</v>
      </c>
      <c r="E62" s="87">
        <f t="shared" si="1"/>
        <v>8.6771524785884679E-3</v>
      </c>
    </row>
    <row r="63" spans="1:5" x14ac:dyDescent="0.2">
      <c r="A63" s="105" t="s">
        <v>603</v>
      </c>
      <c r="B63" s="106">
        <v>323</v>
      </c>
      <c r="C63" s="87">
        <f t="shared" si="0"/>
        <v>6.2112000926406452E-3</v>
      </c>
      <c r="D63" s="106">
        <v>80225.59</v>
      </c>
      <c r="E63" s="87">
        <f t="shared" si="1"/>
        <v>7.3345142670078189E-4</v>
      </c>
    </row>
    <row r="64" spans="1:5" x14ac:dyDescent="0.2">
      <c r="A64" s="105" t="s">
        <v>604</v>
      </c>
      <c r="B64" s="106">
        <v>318</v>
      </c>
      <c r="C64" s="87">
        <f t="shared" si="0"/>
        <v>-1.5600940442479505E-2</v>
      </c>
      <c r="D64" s="106">
        <v>79790.87</v>
      </c>
      <c r="E64" s="87">
        <f t="shared" si="1"/>
        <v>-5.4334544021106268E-3</v>
      </c>
    </row>
    <row r="65" spans="1:5" x14ac:dyDescent="0.2">
      <c r="A65" s="105" t="s">
        <v>605</v>
      </c>
      <c r="B65" s="106">
        <v>322</v>
      </c>
      <c r="C65" s="87">
        <f t="shared" si="0"/>
        <v>1.2500162764231604E-2</v>
      </c>
      <c r="D65" s="106">
        <v>81663.62</v>
      </c>
      <c r="E65" s="87">
        <f t="shared" si="1"/>
        <v>2.3199528175522843E-2</v>
      </c>
    </row>
    <row r="66" spans="1:5" x14ac:dyDescent="0.2">
      <c r="A66" s="105" t="s">
        <v>606</v>
      </c>
      <c r="B66" s="106">
        <v>324.5</v>
      </c>
      <c r="C66" s="87">
        <f t="shared" si="0"/>
        <v>7.7339905997364511E-3</v>
      </c>
      <c r="D66" s="106">
        <v>81632.73</v>
      </c>
      <c r="E66" s="87">
        <f t="shared" si="1"/>
        <v>-3.7833056732061721E-4</v>
      </c>
    </row>
    <row r="67" spans="1:5" x14ac:dyDescent="0.2">
      <c r="A67" s="105" t="s">
        <v>607</v>
      </c>
      <c r="B67" s="106">
        <v>333.5</v>
      </c>
      <c r="C67" s="87">
        <f t="shared" si="0"/>
        <v>2.7357329211532999E-2</v>
      </c>
      <c r="D67" s="106">
        <v>81725.179999999993</v>
      </c>
      <c r="E67" s="87">
        <f t="shared" si="1"/>
        <v>1.1318706253042876E-3</v>
      </c>
    </row>
    <row r="68" spans="1:5" x14ac:dyDescent="0.2">
      <c r="A68" s="105" t="s">
        <v>608</v>
      </c>
      <c r="B68" s="106">
        <v>335</v>
      </c>
      <c r="C68" s="87">
        <f t="shared" si="0"/>
        <v>4.4876664693882518E-3</v>
      </c>
      <c r="D68" s="106">
        <v>82356.59</v>
      </c>
      <c r="E68" s="87">
        <f t="shared" si="1"/>
        <v>7.6963225921975464E-3</v>
      </c>
    </row>
    <row r="69" spans="1:5" x14ac:dyDescent="0.2">
      <c r="A69" s="105" t="s">
        <v>609</v>
      </c>
      <c r="B69" s="106">
        <v>335</v>
      </c>
      <c r="C69" s="87">
        <f t="shared" ref="C69:C132" si="2">LN(B69)-LN(B68)</f>
        <v>0</v>
      </c>
      <c r="D69" s="106">
        <v>82934.710000000006</v>
      </c>
      <c r="E69" s="87">
        <f t="shared" ref="E69:E132" si="3">LN(D69)-LN(D68)</f>
        <v>6.9951940291410608E-3</v>
      </c>
    </row>
    <row r="70" spans="1:5" x14ac:dyDescent="0.2">
      <c r="A70" s="105" t="s">
        <v>610</v>
      </c>
      <c r="B70" s="106">
        <v>335</v>
      </c>
      <c r="C70" s="87">
        <f t="shared" si="2"/>
        <v>0</v>
      </c>
      <c r="D70" s="106">
        <v>82917.009999999995</v>
      </c>
      <c r="E70" s="87">
        <f t="shared" si="3"/>
        <v>-2.1344367206133086E-4</v>
      </c>
    </row>
    <row r="71" spans="1:5" x14ac:dyDescent="0.2">
      <c r="A71" s="105" t="s">
        <v>611</v>
      </c>
      <c r="B71" s="106">
        <v>339.5</v>
      </c>
      <c r="C71" s="87">
        <f t="shared" si="2"/>
        <v>1.3343415173684647E-2</v>
      </c>
      <c r="D71" s="106">
        <v>82860.19</v>
      </c>
      <c r="E71" s="87">
        <f t="shared" si="3"/>
        <v>-6.854983945316917E-4</v>
      </c>
    </row>
    <row r="72" spans="1:5" x14ac:dyDescent="0.2">
      <c r="A72" s="105" t="s">
        <v>612</v>
      </c>
      <c r="B72" s="106">
        <v>337.5</v>
      </c>
      <c r="C72" s="87">
        <f t="shared" si="2"/>
        <v>-5.9084366861661408E-3</v>
      </c>
      <c r="D72" s="106">
        <v>82785.95</v>
      </c>
      <c r="E72" s="87">
        <f t="shared" si="3"/>
        <v>-8.9636866842646157E-4</v>
      </c>
    </row>
    <row r="73" spans="1:5" x14ac:dyDescent="0.2">
      <c r="A73" s="105" t="s">
        <v>613</v>
      </c>
      <c r="B73" s="106">
        <v>336</v>
      </c>
      <c r="C73" s="87">
        <f t="shared" si="2"/>
        <v>-4.4543503493805758E-3</v>
      </c>
      <c r="D73" s="106">
        <v>81643.03</v>
      </c>
      <c r="E73" s="87">
        <f t="shared" si="3"/>
        <v>-1.3901909589923989E-2</v>
      </c>
    </row>
    <row r="74" spans="1:5" x14ac:dyDescent="0.2">
      <c r="A74" s="105" t="s">
        <v>614</v>
      </c>
      <c r="B74" s="106">
        <v>335</v>
      </c>
      <c r="C74" s="87">
        <f t="shared" si="2"/>
        <v>-2.9806281381379307E-3</v>
      </c>
      <c r="D74" s="106">
        <v>80875.490000000005</v>
      </c>
      <c r="E74" s="87">
        <f t="shared" si="3"/>
        <v>-9.4456398773328232E-3</v>
      </c>
    </row>
    <row r="75" spans="1:5" x14ac:dyDescent="0.2">
      <c r="A75" s="105" t="s">
        <v>615</v>
      </c>
      <c r="B75" s="106">
        <v>330</v>
      </c>
      <c r="C75" s="87">
        <f t="shared" si="2"/>
        <v>-1.5037877364540542E-2</v>
      </c>
      <c r="D75" s="106">
        <v>81072.759999999995</v>
      </c>
      <c r="E75" s="87">
        <f t="shared" si="3"/>
        <v>2.4362115375566873E-3</v>
      </c>
    </row>
    <row r="76" spans="1:5" x14ac:dyDescent="0.2">
      <c r="A76" s="105" t="s">
        <v>616</v>
      </c>
      <c r="B76" s="106">
        <v>329.5</v>
      </c>
      <c r="C76" s="87">
        <f t="shared" si="2"/>
        <v>-1.51630051796392E-3</v>
      </c>
      <c r="D76" s="106">
        <v>79369.820000000007</v>
      </c>
      <c r="E76" s="87">
        <f t="shared" si="3"/>
        <v>-2.1228827832059594E-2</v>
      </c>
    </row>
    <row r="77" spans="1:5" x14ac:dyDescent="0.2">
      <c r="A77" s="105" t="s">
        <v>617</v>
      </c>
      <c r="B77" s="106">
        <v>335.5</v>
      </c>
      <c r="C77" s="87">
        <f t="shared" si="2"/>
        <v>1.804560246917486E-2</v>
      </c>
      <c r="D77" s="106">
        <v>79072.100000000006</v>
      </c>
      <c r="E77" s="87">
        <f t="shared" si="3"/>
        <v>-3.7581007652462972E-3</v>
      </c>
    </row>
    <row r="78" spans="1:5" x14ac:dyDescent="0.2">
      <c r="A78" s="105" t="s">
        <v>618</v>
      </c>
      <c r="B78" s="106">
        <v>337</v>
      </c>
      <c r="C78" s="87">
        <f t="shared" si="2"/>
        <v>4.460973940624946E-3</v>
      </c>
      <c r="D78" s="106">
        <v>79130.5</v>
      </c>
      <c r="E78" s="87">
        <f t="shared" si="3"/>
        <v>7.3829384160184475E-4</v>
      </c>
    </row>
    <row r="79" spans="1:5" x14ac:dyDescent="0.2">
      <c r="A79" s="105" t="s">
        <v>619</v>
      </c>
      <c r="B79" s="106">
        <v>339.5</v>
      </c>
      <c r="C79" s="87">
        <f t="shared" si="2"/>
        <v>7.3910166463893034E-3</v>
      </c>
      <c r="D79" s="106">
        <v>79522.95</v>
      </c>
      <c r="E79" s="87">
        <f t="shared" si="3"/>
        <v>4.9472709285574012E-3</v>
      </c>
    </row>
    <row r="80" spans="1:5" x14ac:dyDescent="0.2">
      <c r="A80" s="105" t="s">
        <v>620</v>
      </c>
      <c r="B80" s="106">
        <v>339</v>
      </c>
      <c r="C80" s="87">
        <f t="shared" si="2"/>
        <v>-1.4738396183009428E-3</v>
      </c>
      <c r="D80" s="106">
        <v>79634.429999999993</v>
      </c>
      <c r="E80" s="87">
        <f t="shared" si="3"/>
        <v>1.4008777755858404E-3</v>
      </c>
    </row>
    <row r="81" spans="1:5" x14ac:dyDescent="0.2">
      <c r="A81" s="105" t="s">
        <v>621</v>
      </c>
      <c r="B81" s="106">
        <v>335</v>
      </c>
      <c r="C81" s="87">
        <f t="shared" si="2"/>
        <v>-1.1869575555383705E-2</v>
      </c>
      <c r="D81" s="106">
        <v>79492.14</v>
      </c>
      <c r="E81" s="87">
        <f t="shared" si="3"/>
        <v>-1.788388173316946E-3</v>
      </c>
    </row>
    <row r="82" spans="1:5" x14ac:dyDescent="0.2">
      <c r="A82" s="105" t="s">
        <v>622</v>
      </c>
      <c r="B82" s="106">
        <v>335</v>
      </c>
      <c r="C82" s="87">
        <f t="shared" si="2"/>
        <v>0</v>
      </c>
      <c r="D82" s="106">
        <v>79017.929999999993</v>
      </c>
      <c r="E82" s="87">
        <f t="shared" si="3"/>
        <v>-5.9833601076473286E-3</v>
      </c>
    </row>
    <row r="83" spans="1:5" x14ac:dyDescent="0.2">
      <c r="A83" s="105" t="s">
        <v>623</v>
      </c>
      <c r="B83" s="106">
        <v>334</v>
      </c>
      <c r="C83" s="87">
        <f t="shared" si="2"/>
        <v>-2.9895388483653917E-3</v>
      </c>
      <c r="D83" s="106">
        <v>77894.179999999993</v>
      </c>
      <c r="E83" s="87">
        <f t="shared" si="3"/>
        <v>-1.4323549822835346E-2</v>
      </c>
    </row>
    <row r="84" spans="1:5" x14ac:dyDescent="0.2">
      <c r="A84" s="105" t="s">
        <v>624</v>
      </c>
      <c r="B84" s="106">
        <v>327.5</v>
      </c>
      <c r="C84" s="87">
        <f t="shared" si="2"/>
        <v>-1.9652937901394552E-2</v>
      </c>
      <c r="D84" s="106">
        <v>77230.81</v>
      </c>
      <c r="E84" s="87">
        <f t="shared" si="3"/>
        <v>-8.5527682390740267E-3</v>
      </c>
    </row>
    <row r="85" spans="1:5" x14ac:dyDescent="0.2">
      <c r="A85" s="105" t="s">
        <v>625</v>
      </c>
      <c r="B85" s="106">
        <v>330.5</v>
      </c>
      <c r="C85" s="87">
        <f t="shared" si="2"/>
        <v>9.1186042164350667E-3</v>
      </c>
      <c r="D85" s="106">
        <v>79187.399999999994</v>
      </c>
      <c r="E85" s="87">
        <f t="shared" si="3"/>
        <v>2.501872457654386E-2</v>
      </c>
    </row>
    <row r="86" spans="1:5" x14ac:dyDescent="0.2">
      <c r="A86" s="105" t="s">
        <v>626</v>
      </c>
      <c r="B86" s="106">
        <v>322</v>
      </c>
      <c r="C86" s="87">
        <f t="shared" si="2"/>
        <v>-2.6055113747332825E-2</v>
      </c>
      <c r="D86" s="106">
        <v>79330.679999999993</v>
      </c>
      <c r="E86" s="87">
        <f t="shared" si="3"/>
        <v>1.8077438109163069E-3</v>
      </c>
    </row>
    <row r="87" spans="1:5" x14ac:dyDescent="0.2">
      <c r="A87" s="105" t="s">
        <v>627</v>
      </c>
      <c r="B87" s="106">
        <v>320</v>
      </c>
      <c r="C87" s="87">
        <f t="shared" si="2"/>
        <v>-6.2305497506365271E-3</v>
      </c>
      <c r="D87" s="106">
        <v>80999.100000000006</v>
      </c>
      <c r="E87" s="87">
        <f t="shared" si="3"/>
        <v>2.0813104433694107E-2</v>
      </c>
    </row>
    <row r="88" spans="1:5" x14ac:dyDescent="0.2">
      <c r="A88" s="105" t="s">
        <v>628</v>
      </c>
      <c r="B88" s="106">
        <v>278</v>
      </c>
      <c r="C88" s="87">
        <f t="shared" si="2"/>
        <v>-0.14069988210313511</v>
      </c>
      <c r="D88" s="106">
        <v>80361.67</v>
      </c>
      <c r="E88" s="87">
        <f t="shared" si="3"/>
        <v>-7.9007222854734493E-3</v>
      </c>
    </row>
    <row r="89" spans="1:5" x14ac:dyDescent="0.2">
      <c r="A89" s="105" t="s">
        <v>629</v>
      </c>
      <c r="B89" s="106">
        <v>278.5</v>
      </c>
      <c r="C89" s="87">
        <f t="shared" si="2"/>
        <v>1.7969456767019665E-3</v>
      </c>
      <c r="D89" s="106">
        <v>81064.84</v>
      </c>
      <c r="E89" s="87">
        <f t="shared" si="3"/>
        <v>8.7120070611703682E-3</v>
      </c>
    </row>
    <row r="90" spans="1:5" x14ac:dyDescent="0.2">
      <c r="A90" s="105" t="s">
        <v>630</v>
      </c>
      <c r="B90" s="106">
        <v>280</v>
      </c>
      <c r="C90" s="87">
        <f t="shared" si="2"/>
        <v>5.3715438019104056E-3</v>
      </c>
      <c r="D90" s="106">
        <v>82250.2</v>
      </c>
      <c r="E90" s="87">
        <f t="shared" si="3"/>
        <v>1.4516492978170703E-2</v>
      </c>
    </row>
    <row r="91" spans="1:5" x14ac:dyDescent="0.2">
      <c r="A91" s="105" t="s">
        <v>631</v>
      </c>
      <c r="B91" s="106">
        <v>287</v>
      </c>
      <c r="C91" s="87">
        <f t="shared" si="2"/>
        <v>2.4692612590372143E-2</v>
      </c>
      <c r="D91" s="106">
        <v>82510.86</v>
      </c>
      <c r="E91" s="87">
        <f t="shared" si="3"/>
        <v>3.1640997874990973E-3</v>
      </c>
    </row>
    <row r="92" spans="1:5" x14ac:dyDescent="0.2">
      <c r="A92" s="105" t="s">
        <v>632</v>
      </c>
      <c r="B92" s="106">
        <v>284</v>
      </c>
      <c r="C92" s="87">
        <f t="shared" si="2"/>
        <v>-1.0507977598415152E-2</v>
      </c>
      <c r="D92" s="106">
        <v>80505.509999999995</v>
      </c>
      <c r="E92" s="87">
        <f t="shared" si="3"/>
        <v>-2.4604291753883345E-2</v>
      </c>
    </row>
    <row r="93" spans="1:5" x14ac:dyDescent="0.2">
      <c r="A93" s="105" t="s">
        <v>633</v>
      </c>
      <c r="B93" s="106">
        <v>280</v>
      </c>
      <c r="C93" s="87">
        <f t="shared" si="2"/>
        <v>-1.418463499195699E-2</v>
      </c>
      <c r="D93" s="106">
        <v>80271.3</v>
      </c>
      <c r="E93" s="87">
        <f t="shared" si="3"/>
        <v>-2.9134819340157492E-3</v>
      </c>
    </row>
    <row r="94" spans="1:5" x14ac:dyDescent="0.2">
      <c r="A94" s="105" t="s">
        <v>634</v>
      </c>
      <c r="B94" s="106">
        <v>283</v>
      </c>
      <c r="C94" s="87">
        <f t="shared" si="2"/>
        <v>1.0657294473988443E-2</v>
      </c>
      <c r="D94" s="106">
        <v>80861.73</v>
      </c>
      <c r="E94" s="87">
        <f t="shared" si="3"/>
        <v>7.3285116343981827E-3</v>
      </c>
    </row>
    <row r="95" spans="1:5" x14ac:dyDescent="0.2">
      <c r="A95" s="105" t="s">
        <v>635</v>
      </c>
      <c r="B95" s="106">
        <v>279.5</v>
      </c>
      <c r="C95" s="87">
        <f t="shared" si="2"/>
        <v>-1.2444605048083979E-2</v>
      </c>
      <c r="D95" s="106">
        <v>79550.320000000007</v>
      </c>
      <c r="E95" s="87">
        <f t="shared" si="3"/>
        <v>-1.6350881584481058E-2</v>
      </c>
    </row>
    <row r="96" spans="1:5" x14ac:dyDescent="0.2">
      <c r="A96" s="105" t="s">
        <v>636</v>
      </c>
      <c r="B96" s="106">
        <v>278.5</v>
      </c>
      <c r="C96" s="87">
        <f t="shared" si="2"/>
        <v>-3.5842332278148703E-3</v>
      </c>
      <c r="D96" s="106">
        <v>80179.23</v>
      </c>
      <c r="E96" s="87">
        <f t="shared" si="3"/>
        <v>7.8747263728971006E-3</v>
      </c>
    </row>
    <row r="97" spans="1:5" x14ac:dyDescent="0.2">
      <c r="A97" s="105" t="s">
        <v>637</v>
      </c>
      <c r="B97" s="106">
        <v>279.5</v>
      </c>
      <c r="C97" s="87">
        <f t="shared" si="2"/>
        <v>3.5842332278148703E-3</v>
      </c>
      <c r="D97" s="106">
        <v>81736.59</v>
      </c>
      <c r="E97" s="87">
        <f t="shared" si="3"/>
        <v>1.9237255848743473E-2</v>
      </c>
    </row>
    <row r="98" spans="1:5" x14ac:dyDescent="0.2">
      <c r="A98" s="105" t="s">
        <v>638</v>
      </c>
      <c r="B98" s="106">
        <v>280.5</v>
      </c>
      <c r="C98" s="87">
        <f t="shared" si="2"/>
        <v>3.5714323675977155E-3</v>
      </c>
      <c r="D98" s="106">
        <v>80763.12</v>
      </c>
      <c r="E98" s="87">
        <f t="shared" si="3"/>
        <v>-1.1981333939594663E-2</v>
      </c>
    </row>
    <row r="99" spans="1:5" x14ac:dyDescent="0.2">
      <c r="A99" s="105" t="s">
        <v>639</v>
      </c>
      <c r="B99" s="106">
        <v>287.5</v>
      </c>
      <c r="C99" s="87">
        <f t="shared" si="2"/>
        <v>2.4649135274653844E-2</v>
      </c>
      <c r="D99" s="106">
        <v>80755.53</v>
      </c>
      <c r="E99" s="87">
        <f t="shared" si="3"/>
        <v>-9.3982954979310307E-5</v>
      </c>
    </row>
    <row r="100" spans="1:5" x14ac:dyDescent="0.2">
      <c r="A100" s="105" t="s">
        <v>640</v>
      </c>
      <c r="B100" s="106">
        <v>288</v>
      </c>
      <c r="C100" s="87">
        <f t="shared" si="2"/>
        <v>1.7376198985408209E-3</v>
      </c>
      <c r="D100" s="106">
        <v>80854.92</v>
      </c>
      <c r="E100" s="87">
        <f t="shared" si="3"/>
        <v>1.229994873853002E-3</v>
      </c>
    </row>
    <row r="101" spans="1:5" x14ac:dyDescent="0.2">
      <c r="A101" s="105" t="s">
        <v>641</v>
      </c>
      <c r="B101" s="106">
        <v>296.5</v>
      </c>
      <c r="C101" s="87">
        <f t="shared" si="2"/>
        <v>2.9086738301834281E-2</v>
      </c>
      <c r="D101" s="106">
        <v>81087.100000000006</v>
      </c>
      <c r="E101" s="87">
        <f t="shared" si="3"/>
        <v>2.8674479802948127E-3</v>
      </c>
    </row>
    <row r="102" spans="1:5" x14ac:dyDescent="0.2">
      <c r="A102" s="105" t="s">
        <v>642</v>
      </c>
      <c r="B102" s="106">
        <v>297.5</v>
      </c>
      <c r="C102" s="87">
        <f t="shared" si="2"/>
        <v>3.3670065479043387E-3</v>
      </c>
      <c r="D102" s="106">
        <v>80953.429999999993</v>
      </c>
      <c r="E102" s="87">
        <f t="shared" si="3"/>
        <v>-1.6498345237501155E-3</v>
      </c>
    </row>
    <row r="103" spans="1:5" x14ac:dyDescent="0.2">
      <c r="A103" s="105" t="s">
        <v>643</v>
      </c>
      <c r="B103" s="106">
        <v>304</v>
      </c>
      <c r="C103" s="87">
        <f t="shared" si="2"/>
        <v>2.1613476420537125E-2</v>
      </c>
      <c r="D103" s="106">
        <v>82084.899999999994</v>
      </c>
      <c r="E103" s="87">
        <f t="shared" si="3"/>
        <v>1.3880026435915127E-2</v>
      </c>
    </row>
    <row r="104" spans="1:5" x14ac:dyDescent="0.2">
      <c r="A104" s="105" t="s">
        <v>644</v>
      </c>
      <c r="B104" s="106">
        <v>308</v>
      </c>
      <c r="C104" s="87">
        <f t="shared" si="2"/>
        <v>1.3072081567352178E-2</v>
      </c>
      <c r="D104" s="106">
        <v>82650.039999999994</v>
      </c>
      <c r="E104" s="87">
        <f t="shared" si="3"/>
        <v>6.8612307390942817E-3</v>
      </c>
    </row>
    <row r="105" spans="1:5" x14ac:dyDescent="0.2">
      <c r="A105" s="105" t="s">
        <v>645</v>
      </c>
      <c r="B105" s="106">
        <v>307.5</v>
      </c>
      <c r="C105" s="87">
        <f t="shared" si="2"/>
        <v>-1.6246957270018569E-3</v>
      </c>
      <c r="D105" s="106">
        <v>81890.2</v>
      </c>
      <c r="E105" s="87">
        <f t="shared" si="3"/>
        <v>-9.2359826556958069E-3</v>
      </c>
    </row>
    <row r="106" spans="1:5" x14ac:dyDescent="0.2">
      <c r="A106" s="105" t="s">
        <v>646</v>
      </c>
      <c r="B106" s="106">
        <v>308.5</v>
      </c>
      <c r="C106" s="87">
        <f t="shared" si="2"/>
        <v>3.2467560988704847E-3</v>
      </c>
      <c r="D106" s="106">
        <v>83759.19</v>
      </c>
      <c r="E106" s="87">
        <f t="shared" si="3"/>
        <v>2.2566570448654844E-2</v>
      </c>
    </row>
    <row r="107" spans="1:5" x14ac:dyDescent="0.2">
      <c r="A107" s="105" t="s">
        <v>647</v>
      </c>
      <c r="B107" s="106">
        <v>312.5</v>
      </c>
      <c r="C107" s="87">
        <f t="shared" si="2"/>
        <v>1.2882625831013961E-2</v>
      </c>
      <c r="D107" s="106">
        <v>83240.070000000007</v>
      </c>
      <c r="E107" s="87">
        <f t="shared" si="3"/>
        <v>-6.2170535614818334E-3</v>
      </c>
    </row>
    <row r="108" spans="1:5" x14ac:dyDescent="0.2">
      <c r="A108" s="105" t="s">
        <v>648</v>
      </c>
      <c r="B108" s="106">
        <v>310</v>
      </c>
      <c r="C108" s="87">
        <f t="shared" si="2"/>
        <v>-8.0321716972644452E-3</v>
      </c>
      <c r="D108" s="106">
        <v>83271.28</v>
      </c>
      <c r="E108" s="87">
        <f t="shared" si="3"/>
        <v>3.7486934512820369E-4</v>
      </c>
    </row>
    <row r="109" spans="1:5" x14ac:dyDescent="0.2">
      <c r="A109" s="105" t="s">
        <v>649</v>
      </c>
      <c r="B109" s="106">
        <v>306.5</v>
      </c>
      <c r="C109" s="87">
        <f t="shared" si="2"/>
        <v>-1.1354542102925969E-2</v>
      </c>
      <c r="D109" s="106">
        <v>83455.17</v>
      </c>
      <c r="E109" s="87">
        <f t="shared" si="3"/>
        <v>2.2058896421857099E-3</v>
      </c>
    </row>
    <row r="110" spans="1:5" x14ac:dyDescent="0.2">
      <c r="A110" s="105" t="s">
        <v>650</v>
      </c>
      <c r="B110" s="106">
        <v>312</v>
      </c>
      <c r="C110" s="87">
        <f t="shared" si="2"/>
        <v>1.7785432433216286E-2</v>
      </c>
      <c r="D110" s="106">
        <v>82632.78</v>
      </c>
      <c r="E110" s="87">
        <f t="shared" si="3"/>
        <v>-9.9031473521211666E-3</v>
      </c>
    </row>
    <row r="111" spans="1:5" x14ac:dyDescent="0.2">
      <c r="A111" s="105" t="s">
        <v>651</v>
      </c>
      <c r="B111" s="106">
        <v>305</v>
      </c>
      <c r="C111" s="87">
        <f t="shared" si="2"/>
        <v>-2.2691411202070633E-2</v>
      </c>
      <c r="D111" s="106">
        <v>82841.789999999994</v>
      </c>
      <c r="E111" s="87">
        <f t="shared" si="3"/>
        <v>2.526190110687665E-3</v>
      </c>
    </row>
    <row r="112" spans="1:5" x14ac:dyDescent="0.2">
      <c r="A112" s="105" t="s">
        <v>652</v>
      </c>
      <c r="B112" s="106">
        <v>296</v>
      </c>
      <c r="C112" s="87">
        <f t="shared" si="2"/>
        <v>-2.9952322283351762E-2</v>
      </c>
      <c r="D112" s="106">
        <v>81767.17</v>
      </c>
      <c r="E112" s="87">
        <f t="shared" si="3"/>
        <v>-1.3056825907748149E-2</v>
      </c>
    </row>
    <row r="113" spans="1:5" x14ac:dyDescent="0.2">
      <c r="A113" s="105" t="s">
        <v>653</v>
      </c>
      <c r="B113" s="106">
        <v>296</v>
      </c>
      <c r="C113" s="87">
        <f t="shared" si="2"/>
        <v>0</v>
      </c>
      <c r="D113" s="106">
        <v>81995.740000000005</v>
      </c>
      <c r="E113" s="87">
        <f t="shared" si="3"/>
        <v>2.7914763901630835E-3</v>
      </c>
    </row>
    <row r="114" spans="1:5" x14ac:dyDescent="0.2">
      <c r="A114" s="105" t="s">
        <v>654</v>
      </c>
      <c r="B114" s="106">
        <v>302.5</v>
      </c>
      <c r="C114" s="87">
        <f t="shared" si="2"/>
        <v>2.172182314683635E-2</v>
      </c>
      <c r="D114" s="106">
        <v>82010.86</v>
      </c>
      <c r="E114" s="87">
        <f t="shared" si="3"/>
        <v>1.8438282413946183E-4</v>
      </c>
    </row>
    <row r="115" spans="1:5" x14ac:dyDescent="0.2">
      <c r="A115" s="105" t="s">
        <v>655</v>
      </c>
      <c r="B115" s="106">
        <v>295.5</v>
      </c>
      <c r="C115" s="87">
        <f t="shared" si="2"/>
        <v>-2.3412440624743347E-2</v>
      </c>
      <c r="D115" s="106">
        <v>81721.78</v>
      </c>
      <c r="E115" s="87">
        <f t="shared" si="3"/>
        <v>-3.5311261135788641E-3</v>
      </c>
    </row>
    <row r="116" spans="1:5" x14ac:dyDescent="0.2">
      <c r="A116" s="105" t="s">
        <v>656</v>
      </c>
      <c r="B116" s="106">
        <v>302.5</v>
      </c>
      <c r="C116" s="87">
        <f t="shared" si="2"/>
        <v>2.3412440624743347E-2</v>
      </c>
      <c r="D116" s="106">
        <v>82834.33</v>
      </c>
      <c r="E116" s="87">
        <f t="shared" si="3"/>
        <v>1.3522037583555857E-2</v>
      </c>
    </row>
    <row r="117" spans="1:5" x14ac:dyDescent="0.2">
      <c r="A117" s="105" t="s">
        <v>379</v>
      </c>
      <c r="B117" s="106">
        <v>306</v>
      </c>
      <c r="C117" s="87">
        <f t="shared" si="2"/>
        <v>1.1503824481484237E-2</v>
      </c>
      <c r="D117" s="106">
        <v>82892.759999999995</v>
      </c>
      <c r="E117" s="87">
        <f t="shared" si="3"/>
        <v>7.0513520053872014E-4</v>
      </c>
    </row>
    <row r="118" spans="1:5" x14ac:dyDescent="0.2">
      <c r="A118" s="105" t="s">
        <v>657</v>
      </c>
      <c r="B118" s="106">
        <v>305</v>
      </c>
      <c r="C118" s="87">
        <f t="shared" si="2"/>
        <v>-3.2733253449688249E-3</v>
      </c>
      <c r="D118" s="106">
        <v>83274.2</v>
      </c>
      <c r="E118" s="87">
        <f t="shared" si="3"/>
        <v>4.5910531190056503E-3</v>
      </c>
    </row>
    <row r="119" spans="1:5" x14ac:dyDescent="0.2">
      <c r="A119" s="105" t="s">
        <v>658</v>
      </c>
      <c r="B119" s="106">
        <v>302</v>
      </c>
      <c r="C119" s="87">
        <f t="shared" si="2"/>
        <v>-9.8847592325421729E-3</v>
      </c>
      <c r="D119" s="106">
        <v>84947.19</v>
      </c>
      <c r="E119" s="87">
        <f t="shared" si="3"/>
        <v>1.989099198060984E-2</v>
      </c>
    </row>
    <row r="120" spans="1:5" x14ac:dyDescent="0.2">
      <c r="A120" s="105" t="s">
        <v>659</v>
      </c>
      <c r="B120" s="106">
        <v>295</v>
      </c>
      <c r="C120" s="87">
        <f t="shared" si="2"/>
        <v>-2.3451661035049476E-2</v>
      </c>
      <c r="D120" s="106">
        <v>84399.52</v>
      </c>
      <c r="E120" s="87">
        <f t="shared" si="3"/>
        <v>-6.4680549075539773E-3</v>
      </c>
    </row>
    <row r="121" spans="1:5" x14ac:dyDescent="0.2">
      <c r="A121" s="105" t="s">
        <v>660</v>
      </c>
      <c r="B121" s="106">
        <v>295</v>
      </c>
      <c r="C121" s="87">
        <f t="shared" si="2"/>
        <v>0</v>
      </c>
      <c r="D121" s="106">
        <v>83780.649999999994</v>
      </c>
      <c r="E121" s="87">
        <f t="shared" si="3"/>
        <v>-7.3596404782581004E-3</v>
      </c>
    </row>
    <row r="122" spans="1:5" x14ac:dyDescent="0.2">
      <c r="A122" s="105" t="s">
        <v>661</v>
      </c>
      <c r="B122" s="106">
        <v>299</v>
      </c>
      <c r="C122" s="87">
        <f t="shared" si="2"/>
        <v>1.3468217050866649E-2</v>
      </c>
      <c r="D122" s="106">
        <v>83324.58</v>
      </c>
      <c r="E122" s="87">
        <f t="shared" si="3"/>
        <v>-5.4584902266388013E-3</v>
      </c>
    </row>
    <row r="123" spans="1:5" x14ac:dyDescent="0.2">
      <c r="A123" s="105" t="s">
        <v>662</v>
      </c>
      <c r="B123" s="106">
        <v>299.5</v>
      </c>
      <c r="C123" s="87">
        <f t="shared" si="2"/>
        <v>1.670844164816998E-3</v>
      </c>
      <c r="D123" s="106">
        <v>81900.3</v>
      </c>
      <c r="E123" s="87">
        <f t="shared" si="3"/>
        <v>-1.7240929821072726E-2</v>
      </c>
    </row>
    <row r="124" spans="1:5" x14ac:dyDescent="0.2">
      <c r="A124" s="105" t="s">
        <v>663</v>
      </c>
      <c r="B124" s="106">
        <v>296.5</v>
      </c>
      <c r="C124" s="87">
        <f t="shared" si="2"/>
        <v>-1.0067199117723469E-2</v>
      </c>
      <c r="D124" s="106">
        <v>81759.710000000006</v>
      </c>
      <c r="E124" s="87">
        <f t="shared" si="3"/>
        <v>-1.7180743736062709E-3</v>
      </c>
    </row>
    <row r="125" spans="1:5" x14ac:dyDescent="0.2">
      <c r="A125" s="105" t="s">
        <v>664</v>
      </c>
      <c r="B125" s="106">
        <v>298</v>
      </c>
      <c r="C125" s="87">
        <f t="shared" si="2"/>
        <v>5.0462680676242044E-3</v>
      </c>
      <c r="D125" s="106">
        <v>83203.78</v>
      </c>
      <c r="E125" s="87">
        <f t="shared" si="3"/>
        <v>1.7508200005066143E-2</v>
      </c>
    </row>
    <row r="126" spans="1:5" x14ac:dyDescent="0.2">
      <c r="A126" s="105" t="s">
        <v>665</v>
      </c>
      <c r="B126" s="106">
        <v>299.5</v>
      </c>
      <c r="C126" s="87">
        <f t="shared" si="2"/>
        <v>5.0209310500992643E-3</v>
      </c>
      <c r="D126" s="106">
        <v>82705.16</v>
      </c>
      <c r="E126" s="87">
        <f t="shared" si="3"/>
        <v>-6.0107852083390867E-3</v>
      </c>
    </row>
    <row r="127" spans="1:5" x14ac:dyDescent="0.2">
      <c r="A127" s="105" t="s">
        <v>666</v>
      </c>
      <c r="B127" s="106">
        <v>298</v>
      </c>
      <c r="C127" s="87">
        <f t="shared" si="2"/>
        <v>-5.0209310500992643E-3</v>
      </c>
      <c r="D127" s="106">
        <v>82923.92</v>
      </c>
      <c r="E127" s="87">
        <f t="shared" si="3"/>
        <v>2.6415666525050341E-3</v>
      </c>
    </row>
    <row r="128" spans="1:5" x14ac:dyDescent="0.2">
      <c r="A128" s="105" t="s">
        <v>667</v>
      </c>
      <c r="B128" s="106">
        <v>299</v>
      </c>
      <c r="C128" s="87">
        <f t="shared" si="2"/>
        <v>3.3500868852822663E-3</v>
      </c>
      <c r="D128" s="106">
        <v>81710.75</v>
      </c>
      <c r="E128" s="87">
        <f t="shared" si="3"/>
        <v>-1.473798877402821E-2</v>
      </c>
    </row>
    <row r="129" spans="1:5" x14ac:dyDescent="0.2">
      <c r="A129" s="105" t="s">
        <v>668</v>
      </c>
      <c r="B129" s="106">
        <v>299.5</v>
      </c>
      <c r="C129" s="87">
        <f t="shared" si="2"/>
        <v>1.670844164816998E-3</v>
      </c>
      <c r="D129" s="106">
        <v>82302.58</v>
      </c>
      <c r="E129" s="87">
        <f t="shared" si="3"/>
        <v>7.2168837582680112E-3</v>
      </c>
    </row>
    <row r="130" spans="1:5" x14ac:dyDescent="0.2">
      <c r="A130" s="105" t="s">
        <v>669</v>
      </c>
      <c r="B130" s="106">
        <v>294</v>
      </c>
      <c r="C130" s="87">
        <f t="shared" si="2"/>
        <v>-1.8534650216822435E-2</v>
      </c>
      <c r="D130" s="106">
        <v>81074.2</v>
      </c>
      <c r="E130" s="87">
        <f t="shared" si="3"/>
        <v>-1.5037671177866585E-2</v>
      </c>
    </row>
    <row r="131" spans="1:5" x14ac:dyDescent="0.2">
      <c r="A131" s="105" t="s">
        <v>670</v>
      </c>
      <c r="B131" s="106">
        <v>295</v>
      </c>
      <c r="C131" s="87">
        <f t="shared" si="2"/>
        <v>3.3955890011387879E-3</v>
      </c>
      <c r="D131" s="106">
        <v>79874</v>
      </c>
      <c r="E131" s="87">
        <f t="shared" si="3"/>
        <v>-1.4914391680463268E-2</v>
      </c>
    </row>
    <row r="132" spans="1:5" x14ac:dyDescent="0.2">
      <c r="A132" s="105" t="s">
        <v>671</v>
      </c>
      <c r="B132" s="106">
        <v>298</v>
      </c>
      <c r="C132" s="87">
        <f t="shared" si="2"/>
        <v>1.0118130165584382E-2</v>
      </c>
      <c r="D132" s="106">
        <v>81242.14</v>
      </c>
      <c r="E132" s="87">
        <f t="shared" si="3"/>
        <v>1.6983685011329186E-2</v>
      </c>
    </row>
    <row r="133" spans="1:5" x14ac:dyDescent="0.2">
      <c r="A133" s="105" t="s">
        <v>672</v>
      </c>
      <c r="B133" s="106">
        <v>295</v>
      </c>
      <c r="C133" s="87">
        <f t="shared" ref="C133:C196" si="4">LN(B133)-LN(B132)</f>
        <v>-1.0118130165584382E-2</v>
      </c>
      <c r="D133" s="106">
        <v>81968.31</v>
      </c>
      <c r="E133" s="87">
        <f t="shared" ref="E133:E196" si="5">LN(D133)-LN(D132)</f>
        <v>8.8986310845449168E-3</v>
      </c>
    </row>
    <row r="134" spans="1:5" x14ac:dyDescent="0.2">
      <c r="A134" s="105" t="s">
        <v>673</v>
      </c>
      <c r="B134" s="106">
        <v>295</v>
      </c>
      <c r="C134" s="87">
        <f t="shared" si="4"/>
        <v>0</v>
      </c>
      <c r="D134" s="106">
        <v>81744.47</v>
      </c>
      <c r="E134" s="87">
        <f t="shared" si="5"/>
        <v>-2.7345469240067644E-3</v>
      </c>
    </row>
    <row r="135" spans="1:5" x14ac:dyDescent="0.2">
      <c r="A135" s="105" t="s">
        <v>674</v>
      </c>
      <c r="B135" s="106">
        <v>302</v>
      </c>
      <c r="C135" s="87">
        <f t="shared" si="4"/>
        <v>2.3451661035049476E-2</v>
      </c>
      <c r="D135" s="106">
        <v>83429.649999999994</v>
      </c>
      <c r="E135" s="87">
        <f t="shared" si="5"/>
        <v>2.040559954215837E-2</v>
      </c>
    </row>
    <row r="136" spans="1:5" x14ac:dyDescent="0.2">
      <c r="A136" s="105" t="s">
        <v>675</v>
      </c>
      <c r="B136" s="106">
        <v>307</v>
      </c>
      <c r="C136" s="87">
        <f t="shared" si="4"/>
        <v>1.642073021232715E-2</v>
      </c>
      <c r="D136" s="106">
        <v>84515.9</v>
      </c>
      <c r="E136" s="87">
        <f t="shared" si="5"/>
        <v>1.2935920571122139E-2</v>
      </c>
    </row>
    <row r="137" spans="1:5" x14ac:dyDescent="0.2">
      <c r="A137" s="105" t="s">
        <v>676</v>
      </c>
      <c r="B137" s="106">
        <v>305</v>
      </c>
      <c r="C137" s="87">
        <f t="shared" si="4"/>
        <v>-6.5359709797849774E-3</v>
      </c>
      <c r="D137" s="106">
        <v>84747.91</v>
      </c>
      <c r="E137" s="87">
        <f t="shared" si="5"/>
        <v>2.7414028468548679E-3</v>
      </c>
    </row>
    <row r="138" spans="1:5" x14ac:dyDescent="0.2">
      <c r="A138" s="105" t="s">
        <v>677</v>
      </c>
      <c r="B138" s="106">
        <v>306</v>
      </c>
      <c r="C138" s="87">
        <f t="shared" si="4"/>
        <v>3.2733253449688249E-3</v>
      </c>
      <c r="D138" s="106">
        <v>86196.35</v>
      </c>
      <c r="E138" s="87">
        <f t="shared" si="5"/>
        <v>1.6946748196154715E-2</v>
      </c>
    </row>
    <row r="139" spans="1:5" x14ac:dyDescent="0.2">
      <c r="A139" s="105" t="s">
        <v>678</v>
      </c>
      <c r="B139" s="106">
        <v>305.5</v>
      </c>
      <c r="C139" s="87">
        <f t="shared" si="4"/>
        <v>-1.6353233407304657E-3</v>
      </c>
      <c r="D139" s="106">
        <v>84868.25</v>
      </c>
      <c r="E139" s="87">
        <f t="shared" si="5"/>
        <v>-1.5527779388090579E-2</v>
      </c>
    </row>
    <row r="140" spans="1:5" x14ac:dyDescent="0.2">
      <c r="A140" s="105" t="s">
        <v>679</v>
      </c>
      <c r="B140" s="106">
        <v>288.5</v>
      </c>
      <c r="C140" s="87">
        <f t="shared" si="4"/>
        <v>-5.725469266349581E-2</v>
      </c>
      <c r="D140" s="106">
        <v>84461.65</v>
      </c>
      <c r="E140" s="87">
        <f t="shared" si="5"/>
        <v>-4.8024688076342414E-3</v>
      </c>
    </row>
    <row r="141" spans="1:5" x14ac:dyDescent="0.2">
      <c r="A141" s="105" t="s">
        <v>680</v>
      </c>
      <c r="B141" s="106">
        <v>286.5</v>
      </c>
      <c r="C141" s="87">
        <f t="shared" si="4"/>
        <v>-6.9565497933599119E-3</v>
      </c>
      <c r="D141" s="106">
        <v>83762.28</v>
      </c>
      <c r="E141" s="87">
        <f t="shared" si="5"/>
        <v>-8.3147983677669401E-3</v>
      </c>
    </row>
    <row r="142" spans="1:5" x14ac:dyDescent="0.2">
      <c r="A142" s="105" t="s">
        <v>681</v>
      </c>
      <c r="B142" s="106">
        <v>288</v>
      </c>
      <c r="C142" s="87">
        <f t="shared" si="4"/>
        <v>5.2219439811516111E-3</v>
      </c>
      <c r="D142" s="106">
        <v>84134.48</v>
      </c>
      <c r="E142" s="87">
        <f t="shared" si="5"/>
        <v>4.4336842439562929E-3</v>
      </c>
    </row>
    <row r="143" spans="1:5" x14ac:dyDescent="0.2">
      <c r="A143" s="105" t="s">
        <v>682</v>
      </c>
      <c r="B143" s="106">
        <v>285</v>
      </c>
      <c r="C143" s="87">
        <f t="shared" si="4"/>
        <v>-1.0471299867295336E-2</v>
      </c>
      <c r="D143" s="106">
        <v>83988</v>
      </c>
      <c r="E143" s="87">
        <f t="shared" si="5"/>
        <v>-1.7425395707313385E-3</v>
      </c>
    </row>
    <row r="144" spans="1:5" x14ac:dyDescent="0.2">
      <c r="A144" s="105" t="s">
        <v>683</v>
      </c>
      <c r="B144" s="106">
        <v>286.5</v>
      </c>
      <c r="C144" s="87">
        <f t="shared" si="4"/>
        <v>5.2493558861437251E-3</v>
      </c>
      <c r="D144" s="106">
        <v>84158.33</v>
      </c>
      <c r="E144" s="87">
        <f t="shared" si="5"/>
        <v>2.025974141224296E-3</v>
      </c>
    </row>
    <row r="145" spans="1:5" x14ac:dyDescent="0.2">
      <c r="A145" s="105" t="s">
        <v>684</v>
      </c>
      <c r="B145" s="106">
        <v>286</v>
      </c>
      <c r="C145" s="87">
        <f t="shared" si="4"/>
        <v>-1.7467253349421341E-3</v>
      </c>
      <c r="D145" s="106">
        <v>84170.37</v>
      </c>
      <c r="E145" s="87">
        <f t="shared" si="5"/>
        <v>1.4305344270582054E-4</v>
      </c>
    </row>
    <row r="146" spans="1:5" x14ac:dyDescent="0.2">
      <c r="A146" s="105" t="s">
        <v>685</v>
      </c>
      <c r="B146" s="106">
        <v>286</v>
      </c>
      <c r="C146" s="87">
        <f t="shared" si="4"/>
        <v>0</v>
      </c>
      <c r="D146" s="106">
        <v>84205.759999999995</v>
      </c>
      <c r="E146" s="87">
        <f t="shared" si="5"/>
        <v>4.2036838025794054E-4</v>
      </c>
    </row>
    <row r="147" spans="1:5" x14ac:dyDescent="0.2">
      <c r="A147" s="105" t="s">
        <v>686</v>
      </c>
      <c r="B147" s="106">
        <v>285.5</v>
      </c>
      <c r="C147" s="87">
        <f t="shared" si="4"/>
        <v>-1.7497817237872582E-3</v>
      </c>
      <c r="D147" s="106">
        <v>83717.149999999994</v>
      </c>
      <c r="E147" s="87">
        <f t="shared" si="5"/>
        <v>-5.8194725061486707E-3</v>
      </c>
    </row>
    <row r="148" spans="1:5" x14ac:dyDescent="0.2">
      <c r="A148" s="105" t="s">
        <v>687</v>
      </c>
      <c r="B148" s="106">
        <v>285</v>
      </c>
      <c r="C148" s="87">
        <f t="shared" si="4"/>
        <v>-1.7528488274143328E-3</v>
      </c>
      <c r="D148" s="106">
        <v>84884.54</v>
      </c>
      <c r="E148" s="87">
        <f t="shared" si="5"/>
        <v>1.3848125198045125E-2</v>
      </c>
    </row>
    <row r="149" spans="1:5" x14ac:dyDescent="0.2">
      <c r="A149" s="105" t="s">
        <v>688</v>
      </c>
      <c r="B149" s="106">
        <v>287</v>
      </c>
      <c r="C149" s="87">
        <f t="shared" si="4"/>
        <v>6.9930354909706338E-3</v>
      </c>
      <c r="D149" s="106">
        <v>84690.74</v>
      </c>
      <c r="E149" s="87">
        <f t="shared" si="5"/>
        <v>-2.2857115067154155E-3</v>
      </c>
    </row>
    <row r="150" spans="1:5" x14ac:dyDescent="0.2">
      <c r="A150" s="105" t="s">
        <v>689</v>
      </c>
      <c r="B150" s="106">
        <v>281.5</v>
      </c>
      <c r="C150" s="87">
        <f t="shared" si="4"/>
        <v>-1.9349768179876214E-2</v>
      </c>
      <c r="D150" s="106">
        <v>82349.67</v>
      </c>
      <c r="E150" s="87">
        <f t="shared" si="5"/>
        <v>-2.8031819315128104E-2</v>
      </c>
    </row>
    <row r="151" spans="1:5" x14ac:dyDescent="0.2">
      <c r="A151" s="105" t="s">
        <v>690</v>
      </c>
      <c r="B151" s="106">
        <v>282</v>
      </c>
      <c r="C151" s="87">
        <f t="shared" si="4"/>
        <v>1.7746233583686433E-3</v>
      </c>
      <c r="D151" s="106">
        <v>81982.09</v>
      </c>
      <c r="E151" s="87">
        <f t="shared" si="5"/>
        <v>-4.4736405554886005E-3</v>
      </c>
    </row>
    <row r="152" spans="1:5" x14ac:dyDescent="0.2">
      <c r="A152" s="105" t="s">
        <v>691</v>
      </c>
      <c r="B152" s="106">
        <v>286.5</v>
      </c>
      <c r="C152" s="87">
        <f t="shared" si="4"/>
        <v>1.5831465216680662E-2</v>
      </c>
      <c r="D152" s="106">
        <v>82027.100000000006</v>
      </c>
      <c r="E152" s="87">
        <f t="shared" si="5"/>
        <v>5.4887169591033569E-4</v>
      </c>
    </row>
    <row r="153" spans="1:5" x14ac:dyDescent="0.2">
      <c r="A153" s="105" t="s">
        <v>692</v>
      </c>
      <c r="B153" s="106">
        <v>283.5</v>
      </c>
      <c r="C153" s="87">
        <f t="shared" si="4"/>
        <v>-1.052641298698731E-2</v>
      </c>
      <c r="D153" s="106">
        <v>79603.179999999993</v>
      </c>
      <c r="E153" s="87">
        <f t="shared" si="5"/>
        <v>-2.9995638668955493E-2</v>
      </c>
    </row>
    <row r="154" spans="1:5" x14ac:dyDescent="0.2">
      <c r="A154" s="105" t="s">
        <v>693</v>
      </c>
      <c r="B154" s="106">
        <v>278.5</v>
      </c>
      <c r="C154" s="87">
        <f t="shared" si="4"/>
        <v>-1.7794063800468329E-2</v>
      </c>
      <c r="D154" s="106">
        <v>79736.490000000005</v>
      </c>
      <c r="E154" s="87">
        <f t="shared" si="5"/>
        <v>1.6732811245834256E-3</v>
      </c>
    </row>
    <row r="155" spans="1:5" x14ac:dyDescent="0.2">
      <c r="A155" s="105" t="s">
        <v>694</v>
      </c>
      <c r="B155" s="106">
        <v>275</v>
      </c>
      <c r="C155" s="87">
        <f t="shared" si="4"/>
        <v>-1.2646961700767179E-2</v>
      </c>
      <c r="D155" s="106">
        <v>78971.56</v>
      </c>
      <c r="E155" s="87">
        <f t="shared" si="5"/>
        <v>-9.6395352742284501E-3</v>
      </c>
    </row>
    <row r="156" spans="1:5" x14ac:dyDescent="0.2">
      <c r="A156" s="105" t="s">
        <v>695</v>
      </c>
      <c r="B156" s="106">
        <v>278</v>
      </c>
      <c r="C156" s="87">
        <f t="shared" si="4"/>
        <v>1.0850016024065212E-2</v>
      </c>
      <c r="D156" s="106">
        <v>78266.44</v>
      </c>
      <c r="E156" s="87">
        <f t="shared" si="5"/>
        <v>-8.9688844515993793E-3</v>
      </c>
    </row>
    <row r="157" spans="1:5" x14ac:dyDescent="0.2">
      <c r="A157" s="105" t="s">
        <v>696</v>
      </c>
      <c r="B157" s="106">
        <v>269</v>
      </c>
      <c r="C157" s="87">
        <f t="shared" si="4"/>
        <v>-3.2909734088797826E-2</v>
      </c>
      <c r="D157" s="106">
        <v>78915.839999999997</v>
      </c>
      <c r="E157" s="87">
        <f t="shared" si="5"/>
        <v>8.2630649585517801E-3</v>
      </c>
    </row>
    <row r="158" spans="1:5" x14ac:dyDescent="0.2">
      <c r="A158" s="105" t="s">
        <v>697</v>
      </c>
      <c r="B158" s="106">
        <v>285</v>
      </c>
      <c r="C158" s="87">
        <f t="shared" si="4"/>
        <v>5.7777800666811707E-2</v>
      </c>
      <c r="D158" s="106">
        <v>81648.83</v>
      </c>
      <c r="E158" s="87">
        <f t="shared" si="5"/>
        <v>3.404552170039743E-2</v>
      </c>
    </row>
    <row r="159" spans="1:5" x14ac:dyDescent="0.2">
      <c r="A159" s="105" t="s">
        <v>382</v>
      </c>
      <c r="B159" s="106">
        <v>285.5</v>
      </c>
      <c r="C159" s="87">
        <f t="shared" si="4"/>
        <v>1.7528488274143328E-3</v>
      </c>
      <c r="D159" s="106">
        <v>82920.89</v>
      </c>
      <c r="E159" s="87">
        <f t="shared" si="5"/>
        <v>1.5459530888017881E-2</v>
      </c>
    </row>
    <row r="160" spans="1:5" x14ac:dyDescent="0.2">
      <c r="A160" s="105" t="s">
        <v>698</v>
      </c>
      <c r="B160" s="106">
        <v>288</v>
      </c>
      <c r="C160" s="87">
        <f t="shared" si="4"/>
        <v>8.7184510398810033E-3</v>
      </c>
      <c r="D160" s="106">
        <v>84345.7</v>
      </c>
      <c r="E160" s="87">
        <f t="shared" si="5"/>
        <v>1.7036808878142295E-2</v>
      </c>
    </row>
    <row r="161" spans="1:5" x14ac:dyDescent="0.2">
      <c r="A161" s="105" t="s">
        <v>699</v>
      </c>
      <c r="B161" s="106">
        <v>286</v>
      </c>
      <c r="C161" s="87">
        <f t="shared" si="4"/>
        <v>-6.9686693160937452E-3</v>
      </c>
      <c r="D161" s="106">
        <v>83212.14</v>
      </c>
      <c r="E161" s="87">
        <f t="shared" si="5"/>
        <v>-1.353057898060861E-2</v>
      </c>
    </row>
    <row r="162" spans="1:5" x14ac:dyDescent="0.2">
      <c r="A162" s="105" t="s">
        <v>700</v>
      </c>
      <c r="B162" s="106">
        <v>281</v>
      </c>
      <c r="C162" s="87">
        <f t="shared" si="4"/>
        <v>-1.7637141486106955E-2</v>
      </c>
      <c r="D162" s="106">
        <v>84110.95</v>
      </c>
      <c r="E162" s="87">
        <f t="shared" si="5"/>
        <v>1.0743509999281642E-2</v>
      </c>
    </row>
    <row r="163" spans="1:5" x14ac:dyDescent="0.2">
      <c r="A163" s="105" t="s">
        <v>701</v>
      </c>
      <c r="B163" s="106">
        <v>302</v>
      </c>
      <c r="C163" s="87">
        <f t="shared" si="4"/>
        <v>7.2072348041124279E-2</v>
      </c>
      <c r="D163" s="106">
        <v>83712.63</v>
      </c>
      <c r="E163" s="87">
        <f t="shared" si="5"/>
        <v>-4.7468984745364651E-3</v>
      </c>
    </row>
    <row r="164" spans="1:5" x14ac:dyDescent="0.2">
      <c r="A164" s="105" t="s">
        <v>702</v>
      </c>
      <c r="B164" s="106">
        <v>301</v>
      </c>
      <c r="C164" s="87">
        <f t="shared" si="4"/>
        <v>-3.3167526259942903E-3</v>
      </c>
      <c r="D164" s="106">
        <v>83934.36</v>
      </c>
      <c r="E164" s="87">
        <f t="shared" si="5"/>
        <v>2.645202628318799E-3</v>
      </c>
    </row>
    <row r="165" spans="1:5" x14ac:dyDescent="0.2">
      <c r="A165" s="105" t="s">
        <v>703</v>
      </c>
      <c r="B165" s="106">
        <v>299</v>
      </c>
      <c r="C165" s="87">
        <f t="shared" si="4"/>
        <v>-6.6666913581885368E-3</v>
      </c>
      <c r="D165" s="106">
        <v>84486.13</v>
      </c>
      <c r="E165" s="87">
        <f t="shared" si="5"/>
        <v>6.5523140810874736E-3</v>
      </c>
    </row>
    <row r="166" spans="1:5" x14ac:dyDescent="0.2">
      <c r="A166" s="105" t="s">
        <v>704</v>
      </c>
      <c r="B166" s="106">
        <v>301.5</v>
      </c>
      <c r="C166" s="87">
        <f t="shared" si="4"/>
        <v>8.3264427765534776E-3</v>
      </c>
      <c r="D166" s="106">
        <v>84908.55</v>
      </c>
      <c r="E166" s="87">
        <f t="shared" si="5"/>
        <v>4.9874160819829427E-3</v>
      </c>
    </row>
    <row r="167" spans="1:5" x14ac:dyDescent="0.2">
      <c r="A167" s="105" t="s">
        <v>705</v>
      </c>
      <c r="B167" s="106">
        <v>300.5</v>
      </c>
      <c r="C167" s="87">
        <f t="shared" si="4"/>
        <v>-3.3222621919781758E-3</v>
      </c>
      <c r="D167" s="106">
        <v>86091.21</v>
      </c>
      <c r="E167" s="87">
        <f t="shared" si="5"/>
        <v>1.3832520669248893E-2</v>
      </c>
    </row>
    <row r="168" spans="1:5" x14ac:dyDescent="0.2">
      <c r="A168" s="105" t="s">
        <v>706</v>
      </c>
      <c r="B168" s="106">
        <v>301</v>
      </c>
      <c r="C168" s="87">
        <f t="shared" si="4"/>
        <v>1.662510773613235E-3</v>
      </c>
      <c r="D168" s="106">
        <v>85852.44</v>
      </c>
      <c r="E168" s="87">
        <f t="shared" si="5"/>
        <v>-2.7773070244574427E-3</v>
      </c>
    </row>
    <row r="169" spans="1:5" x14ac:dyDescent="0.2">
      <c r="A169" s="105" t="s">
        <v>707</v>
      </c>
      <c r="B169" s="106">
        <v>300.5</v>
      </c>
      <c r="C169" s="87">
        <f t="shared" si="4"/>
        <v>-1.662510773613235E-3</v>
      </c>
      <c r="D169" s="106">
        <v>86413.16</v>
      </c>
      <c r="E169" s="87">
        <f t="shared" si="5"/>
        <v>6.5099704208080311E-3</v>
      </c>
    </row>
    <row r="170" spans="1:5" x14ac:dyDescent="0.2">
      <c r="A170" s="105" t="s">
        <v>708</v>
      </c>
      <c r="B170" s="106">
        <v>303</v>
      </c>
      <c r="C170" s="87">
        <f t="shared" si="4"/>
        <v>8.2850515341066355E-3</v>
      </c>
      <c r="D170" s="106">
        <v>85141.13</v>
      </c>
      <c r="E170" s="87">
        <f t="shared" si="5"/>
        <v>-1.4829746456712201E-2</v>
      </c>
    </row>
    <row r="171" spans="1:5" x14ac:dyDescent="0.2">
      <c r="A171" s="105" t="s">
        <v>709</v>
      </c>
      <c r="B171" s="106">
        <v>303</v>
      </c>
      <c r="C171" s="87">
        <f t="shared" si="4"/>
        <v>0</v>
      </c>
      <c r="D171" s="106">
        <v>85965.15</v>
      </c>
      <c r="E171" s="87">
        <f t="shared" si="5"/>
        <v>9.6317489970783043E-3</v>
      </c>
    </row>
    <row r="172" spans="1:5" x14ac:dyDescent="0.2">
      <c r="A172" s="105" t="s">
        <v>710</v>
      </c>
      <c r="B172" s="106">
        <v>307</v>
      </c>
      <c r="C172" s="87">
        <f t="shared" si="4"/>
        <v>1.311494207782804E-2</v>
      </c>
      <c r="D172" s="106">
        <v>88603.27</v>
      </c>
      <c r="E172" s="87">
        <f t="shared" si="5"/>
        <v>3.0226782812714958E-2</v>
      </c>
    </row>
    <row r="173" spans="1:5" x14ac:dyDescent="0.2">
      <c r="A173" s="105" t="s">
        <v>711</v>
      </c>
      <c r="B173" s="106">
        <v>306.5</v>
      </c>
      <c r="C173" s="87">
        <f t="shared" si="4"/>
        <v>-1.6299922109306308E-3</v>
      </c>
      <c r="D173" s="106">
        <v>88693.82</v>
      </c>
      <c r="E173" s="87">
        <f t="shared" si="5"/>
        <v>1.0214494538285379E-3</v>
      </c>
    </row>
    <row r="174" spans="1:5" x14ac:dyDescent="0.2">
      <c r="A174" s="105" t="s">
        <v>712</v>
      </c>
      <c r="B174" s="106">
        <v>306</v>
      </c>
      <c r="C174" s="87">
        <f t="shared" si="4"/>
        <v>-1.6326534238855217E-3</v>
      </c>
      <c r="D174" s="106">
        <v>88154.63</v>
      </c>
      <c r="E174" s="87">
        <f t="shared" si="5"/>
        <v>-6.0977822618379918E-3</v>
      </c>
    </row>
    <row r="175" spans="1:5" x14ac:dyDescent="0.2">
      <c r="A175" s="105" t="s">
        <v>713</v>
      </c>
      <c r="B175" s="106">
        <v>305</v>
      </c>
      <c r="C175" s="87">
        <f t="shared" si="4"/>
        <v>-3.2733253449688249E-3</v>
      </c>
      <c r="D175" s="106">
        <v>87487.2</v>
      </c>
      <c r="E175" s="87">
        <f t="shared" si="5"/>
        <v>-7.5999346226893749E-3</v>
      </c>
    </row>
    <row r="176" spans="1:5" x14ac:dyDescent="0.2">
      <c r="A176" s="105" t="s">
        <v>714</v>
      </c>
      <c r="B176" s="106">
        <v>300.5</v>
      </c>
      <c r="C176" s="87">
        <f t="shared" si="4"/>
        <v>-1.4864022632149698E-2</v>
      </c>
      <c r="D176" s="106">
        <v>88178.96</v>
      </c>
      <c r="E176" s="87">
        <f t="shared" si="5"/>
        <v>7.8758888541479166E-3</v>
      </c>
    </row>
    <row r="177" spans="1:5" x14ac:dyDescent="0.2">
      <c r="A177" s="105" t="s">
        <v>715</v>
      </c>
      <c r="B177" s="106">
        <v>305.5</v>
      </c>
      <c r="C177" s="87">
        <f t="shared" si="4"/>
        <v>1.6502024636388057E-2</v>
      </c>
      <c r="D177" s="106">
        <v>87986.09</v>
      </c>
      <c r="E177" s="87">
        <f t="shared" si="5"/>
        <v>-2.1896520003341635E-3</v>
      </c>
    </row>
    <row r="178" spans="1:5" x14ac:dyDescent="0.2">
      <c r="A178" s="105" t="s">
        <v>716</v>
      </c>
      <c r="B178" s="106">
        <v>307</v>
      </c>
      <c r="C178" s="87">
        <f t="shared" si="4"/>
        <v>4.8979689755466183E-3</v>
      </c>
      <c r="D178" s="106">
        <v>87297.02</v>
      </c>
      <c r="E178" s="87">
        <f t="shared" si="5"/>
        <v>-7.8624067054526847E-3</v>
      </c>
    </row>
    <row r="179" spans="1:5" x14ac:dyDescent="0.2">
      <c r="A179" s="105" t="s">
        <v>717</v>
      </c>
      <c r="B179" s="106">
        <v>307.5</v>
      </c>
      <c r="C179" s="87">
        <f t="shared" si="4"/>
        <v>1.6273396593753375E-3</v>
      </c>
      <c r="D179" s="106">
        <v>88172.42</v>
      </c>
      <c r="E179" s="87">
        <f t="shared" si="5"/>
        <v>9.9778886028598635E-3</v>
      </c>
    </row>
    <row r="180" spans="1:5" x14ac:dyDescent="0.2">
      <c r="A180" s="105" t="s">
        <v>718</v>
      </c>
      <c r="B180" s="106">
        <v>307</v>
      </c>
      <c r="C180" s="87">
        <f t="shared" si="4"/>
        <v>-1.6273396593753375E-3</v>
      </c>
      <c r="D180" s="106">
        <v>87927.07</v>
      </c>
      <c r="E180" s="87">
        <f t="shared" si="5"/>
        <v>-2.7864948246332233E-3</v>
      </c>
    </row>
    <row r="181" spans="1:5" x14ac:dyDescent="0.2">
      <c r="A181" s="105" t="s">
        <v>719</v>
      </c>
      <c r="B181" s="106">
        <v>312</v>
      </c>
      <c r="C181" s="87">
        <f t="shared" si="4"/>
        <v>1.6155440222285655E-2</v>
      </c>
      <c r="D181" s="106">
        <v>87485.28</v>
      </c>
      <c r="E181" s="87">
        <f t="shared" si="5"/>
        <v>-5.0371702349440994E-3</v>
      </c>
    </row>
    <row r="182" spans="1:5" x14ac:dyDescent="0.2">
      <c r="A182" s="105" t="s">
        <v>384</v>
      </c>
      <c r="B182" s="106">
        <v>313.5</v>
      </c>
      <c r="C182" s="87">
        <f t="shared" si="4"/>
        <v>4.7961722634930481E-3</v>
      </c>
      <c r="D182" s="106">
        <v>88385.7</v>
      </c>
      <c r="E182" s="87">
        <f t="shared" si="5"/>
        <v>1.0239641212267614E-2</v>
      </c>
    </row>
    <row r="183" spans="1:5" x14ac:dyDescent="0.2">
      <c r="A183" s="105" t="s">
        <v>720</v>
      </c>
      <c r="B183" s="106">
        <v>317.5</v>
      </c>
      <c r="C183" s="87">
        <f t="shared" si="4"/>
        <v>1.2678458259770764E-2</v>
      </c>
      <c r="D183" s="106">
        <v>88613.67</v>
      </c>
      <c r="E183" s="87">
        <f t="shared" si="5"/>
        <v>2.5759427963780723E-3</v>
      </c>
    </row>
    <row r="184" spans="1:5" x14ac:dyDescent="0.2">
      <c r="A184" s="105" t="s">
        <v>721</v>
      </c>
      <c r="B184" s="106">
        <v>315.5</v>
      </c>
      <c r="C184" s="87">
        <f t="shared" si="4"/>
        <v>-6.3191363514780718E-3</v>
      </c>
      <c r="D184" s="106">
        <v>88135.13</v>
      </c>
      <c r="E184" s="87">
        <f t="shared" si="5"/>
        <v>-5.4149297680154973E-3</v>
      </c>
    </row>
    <row r="185" spans="1:5" x14ac:dyDescent="0.2">
      <c r="A185" s="105" t="s">
        <v>722</v>
      </c>
      <c r="B185" s="106">
        <v>318</v>
      </c>
      <c r="C185" s="87">
        <f t="shared" si="4"/>
        <v>7.8927007989086917E-3</v>
      </c>
      <c r="D185" s="106">
        <v>87849.35</v>
      </c>
      <c r="E185" s="87">
        <f t="shared" si="5"/>
        <v>-3.24778925054936E-3</v>
      </c>
    </row>
    <row r="186" spans="1:5" x14ac:dyDescent="0.2">
      <c r="A186" s="105" t="s">
        <v>723</v>
      </c>
      <c r="B186" s="106">
        <v>317</v>
      </c>
      <c r="C186" s="87">
        <f t="shared" si="4"/>
        <v>-3.1496089028966168E-3</v>
      </c>
      <c r="D186" s="106">
        <v>87972.83</v>
      </c>
      <c r="E186" s="87">
        <f t="shared" si="5"/>
        <v>1.4046011749044851E-3</v>
      </c>
    </row>
    <row r="187" spans="1:5" x14ac:dyDescent="0.2">
      <c r="A187" s="105" t="s">
        <v>724</v>
      </c>
      <c r="B187" s="106">
        <v>313</v>
      </c>
      <c r="C187" s="87">
        <f t="shared" si="4"/>
        <v>-1.2698583337127367E-2</v>
      </c>
      <c r="D187" s="106">
        <v>87868.24</v>
      </c>
      <c r="E187" s="87">
        <f t="shared" si="5"/>
        <v>-1.1895970871211858E-3</v>
      </c>
    </row>
    <row r="188" spans="1:5" x14ac:dyDescent="0.2">
      <c r="A188" s="105" t="s">
        <v>725</v>
      </c>
      <c r="B188" s="106">
        <v>312.5</v>
      </c>
      <c r="C188" s="87">
        <f t="shared" si="4"/>
        <v>-1.5987213636963205E-3</v>
      </c>
      <c r="D188" s="106">
        <v>86415.61</v>
      </c>
      <c r="E188" s="87">
        <f t="shared" si="5"/>
        <v>-1.6670088930778704E-2</v>
      </c>
    </row>
    <row r="189" spans="1:5" x14ac:dyDescent="0.2">
      <c r="A189" s="105" t="s">
        <v>726</v>
      </c>
      <c r="B189" s="106">
        <v>316</v>
      </c>
      <c r="C189" s="87">
        <f t="shared" si="4"/>
        <v>1.1137744410455674E-2</v>
      </c>
      <c r="D189" s="106">
        <v>86549.62</v>
      </c>
      <c r="E189" s="87">
        <f t="shared" si="5"/>
        <v>1.5495602996598024E-3</v>
      </c>
    </row>
    <row r="190" spans="1:5" x14ac:dyDescent="0.2">
      <c r="A190" s="105" t="s">
        <v>727</v>
      </c>
      <c r="B190" s="106">
        <v>317</v>
      </c>
      <c r="C190" s="87">
        <f t="shared" si="4"/>
        <v>3.1595602903680131E-3</v>
      </c>
      <c r="D190" s="106">
        <v>86385.81</v>
      </c>
      <c r="E190" s="87">
        <f t="shared" si="5"/>
        <v>-1.8944648761998195E-3</v>
      </c>
    </row>
    <row r="191" spans="1:5" x14ac:dyDescent="0.2">
      <c r="A191" s="105" t="s">
        <v>728</v>
      </c>
      <c r="B191" s="106">
        <v>316</v>
      </c>
      <c r="C191" s="87">
        <f t="shared" si="4"/>
        <v>-3.1595602903680131E-3</v>
      </c>
      <c r="D191" s="106">
        <v>85249.08</v>
      </c>
      <c r="E191" s="87">
        <f t="shared" si="5"/>
        <v>-1.3246101894134554E-2</v>
      </c>
    </row>
    <row r="192" spans="1:5" x14ac:dyDescent="0.2">
      <c r="A192" s="105" t="s">
        <v>729</v>
      </c>
      <c r="B192" s="106">
        <v>315</v>
      </c>
      <c r="C192" s="87">
        <f t="shared" si="4"/>
        <v>-3.1695747612792147E-3</v>
      </c>
      <c r="D192" s="106">
        <v>85276.34</v>
      </c>
      <c r="E192" s="87">
        <f t="shared" si="5"/>
        <v>3.1971773161032502E-4</v>
      </c>
    </row>
    <row r="193" spans="1:5" x14ac:dyDescent="0.2">
      <c r="A193" s="105" t="s">
        <v>730</v>
      </c>
      <c r="B193" s="106">
        <v>310.5</v>
      </c>
      <c r="C193" s="87">
        <f t="shared" si="4"/>
        <v>-1.4388737452099676E-2</v>
      </c>
      <c r="D193" s="106">
        <v>83875.740000000005</v>
      </c>
      <c r="E193" s="87">
        <f t="shared" si="5"/>
        <v>-1.6560624142464064E-2</v>
      </c>
    </row>
    <row r="194" spans="1:5" x14ac:dyDescent="0.2">
      <c r="A194" s="105" t="s">
        <v>731</v>
      </c>
      <c r="B194" s="106">
        <v>309</v>
      </c>
      <c r="C194" s="87">
        <f t="shared" si="4"/>
        <v>-4.8426244757875381E-3</v>
      </c>
      <c r="D194" s="106">
        <v>83701.17</v>
      </c>
      <c r="E194" s="87">
        <f t="shared" si="5"/>
        <v>-2.0834620133296511E-3</v>
      </c>
    </row>
    <row r="195" spans="1:5" x14ac:dyDescent="0.2">
      <c r="A195" s="105" t="s">
        <v>732</v>
      </c>
      <c r="B195" s="106">
        <v>310.5</v>
      </c>
      <c r="C195" s="87">
        <f t="shared" si="4"/>
        <v>4.8426244757875381E-3</v>
      </c>
      <c r="D195" s="106">
        <v>85072.15</v>
      </c>
      <c r="E195" s="87">
        <f t="shared" si="5"/>
        <v>1.6246764080412035E-2</v>
      </c>
    </row>
    <row r="196" spans="1:5" x14ac:dyDescent="0.2">
      <c r="A196" s="105" t="s">
        <v>733</v>
      </c>
      <c r="B196" s="106">
        <v>307</v>
      </c>
      <c r="C196" s="87">
        <f t="shared" si="4"/>
        <v>-1.1336153786336567E-2</v>
      </c>
      <c r="D196" s="106">
        <v>83878.09</v>
      </c>
      <c r="E196" s="87">
        <f t="shared" si="5"/>
        <v>-1.4135284823003857E-2</v>
      </c>
    </row>
    <row r="197" spans="1:5" x14ac:dyDescent="0.2">
      <c r="A197" s="105" t="s">
        <v>734</v>
      </c>
      <c r="B197" s="106">
        <v>307</v>
      </c>
      <c r="C197" s="87">
        <f t="shared" ref="C197:C260" si="6">LN(B197)-LN(B196)</f>
        <v>0</v>
      </c>
      <c r="D197" s="106">
        <v>84845.86</v>
      </c>
      <c r="E197" s="87">
        <f t="shared" ref="E197:E260" si="7">LN(D197)-LN(D196)</f>
        <v>1.1471763354247599E-2</v>
      </c>
    </row>
    <row r="198" spans="1:5" x14ac:dyDescent="0.2">
      <c r="A198" s="105" t="s">
        <v>735</v>
      </c>
      <c r="B198" s="106">
        <v>311</v>
      </c>
      <c r="C198" s="87">
        <f t="shared" si="6"/>
        <v>1.2945164592037095E-2</v>
      </c>
      <c r="D198" s="106">
        <v>84902.67</v>
      </c>
      <c r="E198" s="87">
        <f t="shared" si="7"/>
        <v>6.6934308203947523E-4</v>
      </c>
    </row>
    <row r="199" spans="1:5" x14ac:dyDescent="0.2">
      <c r="A199" s="105" t="s">
        <v>736</v>
      </c>
      <c r="B199" s="106">
        <v>314.5</v>
      </c>
      <c r="C199" s="87">
        <f t="shared" si="6"/>
        <v>1.119116396126163E-2</v>
      </c>
      <c r="D199" s="106">
        <v>85782.83</v>
      </c>
      <c r="E199" s="87">
        <f t="shared" si="7"/>
        <v>1.0313328331761795E-2</v>
      </c>
    </row>
    <row r="200" spans="1:5" x14ac:dyDescent="0.2">
      <c r="A200" s="105" t="s">
        <v>737</v>
      </c>
      <c r="B200" s="106">
        <v>310</v>
      </c>
      <c r="C200" s="87">
        <f t="shared" si="6"/>
        <v>-1.4411778661303387E-2</v>
      </c>
      <c r="D200" s="106">
        <v>85342.58</v>
      </c>
      <c r="E200" s="87">
        <f t="shared" si="7"/>
        <v>-5.1453606018121434E-3</v>
      </c>
    </row>
    <row r="201" spans="1:5" x14ac:dyDescent="0.2">
      <c r="A201" s="105" t="s">
        <v>738</v>
      </c>
      <c r="B201" s="106">
        <v>310</v>
      </c>
      <c r="C201" s="87">
        <f t="shared" si="6"/>
        <v>0</v>
      </c>
      <c r="D201" s="106">
        <v>84978.57</v>
      </c>
      <c r="E201" s="87">
        <f t="shared" si="7"/>
        <v>-4.274402259738963E-3</v>
      </c>
    </row>
    <row r="202" spans="1:5" x14ac:dyDescent="0.2">
      <c r="A202" s="105" t="s">
        <v>739</v>
      </c>
      <c r="B202" s="106">
        <v>316.5</v>
      </c>
      <c r="C202" s="87">
        <f t="shared" si="6"/>
        <v>2.0750944105039082E-2</v>
      </c>
      <c r="D202" s="106">
        <v>86832.67</v>
      </c>
      <c r="E202" s="87">
        <f t="shared" si="7"/>
        <v>2.1583826284402363E-2</v>
      </c>
    </row>
    <row r="203" spans="1:5" x14ac:dyDescent="0.2">
      <c r="A203" s="105" t="s">
        <v>740</v>
      </c>
      <c r="B203" s="106">
        <v>316</v>
      </c>
      <c r="C203" s="87">
        <f t="shared" si="6"/>
        <v>-1.5810279973189623E-3</v>
      </c>
      <c r="D203" s="106">
        <v>86315.26</v>
      </c>
      <c r="E203" s="87">
        <f t="shared" si="7"/>
        <v>-5.9765258540149802E-3</v>
      </c>
    </row>
    <row r="204" spans="1:5" x14ac:dyDescent="0.2">
      <c r="A204" s="105" t="s">
        <v>741</v>
      </c>
      <c r="B204" s="106">
        <v>314.5</v>
      </c>
      <c r="C204" s="87">
        <f t="shared" si="6"/>
        <v>-4.7581374464167325E-3</v>
      </c>
      <c r="D204" s="106">
        <v>85697.03</v>
      </c>
      <c r="E204" s="87">
        <f t="shared" si="7"/>
        <v>-7.1882382594008476E-3</v>
      </c>
    </row>
    <row r="205" spans="1:5" x14ac:dyDescent="0.2">
      <c r="A205" s="105" t="s">
        <v>742</v>
      </c>
      <c r="B205" s="106">
        <v>319</v>
      </c>
      <c r="C205" s="87">
        <f t="shared" si="6"/>
        <v>1.4207026644348808E-2</v>
      </c>
      <c r="D205" s="106">
        <v>86996.07</v>
      </c>
      <c r="E205" s="87">
        <f t="shared" si="7"/>
        <v>1.5044775993239057E-2</v>
      </c>
    </row>
    <row r="206" spans="1:5" x14ac:dyDescent="0.2">
      <c r="A206" s="105" t="s">
        <v>743</v>
      </c>
      <c r="B206" s="106">
        <v>318.5</v>
      </c>
      <c r="C206" s="87">
        <f t="shared" si="6"/>
        <v>-1.5686277726265629E-3</v>
      </c>
      <c r="D206" s="106">
        <v>87654.95</v>
      </c>
      <c r="E206" s="87">
        <f t="shared" si="7"/>
        <v>7.5451391670728896E-3</v>
      </c>
    </row>
    <row r="207" spans="1:5" x14ac:dyDescent="0.2">
      <c r="A207" s="105" t="s">
        <v>744</v>
      </c>
      <c r="B207" s="106">
        <v>320</v>
      </c>
      <c r="C207" s="87">
        <f t="shared" si="6"/>
        <v>4.6985207815541941E-3</v>
      </c>
      <c r="D207" s="106">
        <v>87690.05</v>
      </c>
      <c r="E207" s="87">
        <f t="shared" si="7"/>
        <v>4.0035359398693515E-4</v>
      </c>
    </row>
    <row r="208" spans="1:5" x14ac:dyDescent="0.2">
      <c r="A208" s="105" t="s">
        <v>745</v>
      </c>
      <c r="B208" s="106">
        <v>322</v>
      </c>
      <c r="C208" s="87">
        <f t="shared" si="6"/>
        <v>6.2305497506365271E-3</v>
      </c>
      <c r="D208" s="106">
        <v>88090.51</v>
      </c>
      <c r="E208" s="87">
        <f t="shared" si="7"/>
        <v>4.5563706568305662E-3</v>
      </c>
    </row>
    <row r="209" spans="1:5" x14ac:dyDescent="0.2">
      <c r="A209" s="105" t="s">
        <v>746</v>
      </c>
      <c r="B209" s="106">
        <v>319.5</v>
      </c>
      <c r="C209" s="87">
        <f t="shared" si="6"/>
        <v>-7.7942717268193462E-3</v>
      </c>
      <c r="D209" s="106">
        <v>88314.37</v>
      </c>
      <c r="E209" s="87">
        <f t="shared" si="7"/>
        <v>2.5380263875653952E-3</v>
      </c>
    </row>
    <row r="210" spans="1:5" x14ac:dyDescent="0.2">
      <c r="A210" s="105" t="s">
        <v>747</v>
      </c>
      <c r="B210" s="106">
        <v>323</v>
      </c>
      <c r="C210" s="87">
        <f t="shared" si="6"/>
        <v>1.0895049405067248E-2</v>
      </c>
      <c r="D210" s="106">
        <v>88739.92</v>
      </c>
      <c r="E210" s="87">
        <f t="shared" si="7"/>
        <v>4.8070094143852771E-3</v>
      </c>
    </row>
    <row r="211" spans="1:5" x14ac:dyDescent="0.2">
      <c r="A211" s="105" t="s">
        <v>748</v>
      </c>
      <c r="B211" s="106">
        <v>323</v>
      </c>
      <c r="C211" s="87">
        <f t="shared" si="6"/>
        <v>0</v>
      </c>
      <c r="D211" s="106">
        <v>89414</v>
      </c>
      <c r="E211" s="87">
        <f t="shared" si="7"/>
        <v>7.5674250312847136E-3</v>
      </c>
    </row>
    <row r="212" spans="1:5" x14ac:dyDescent="0.2">
      <c r="A212" s="105" t="s">
        <v>749</v>
      </c>
      <c r="B212" s="106">
        <v>319</v>
      </c>
      <c r="C212" s="87">
        <f t="shared" si="6"/>
        <v>-1.2461220437812059E-2</v>
      </c>
      <c r="D212" s="106">
        <v>88734.63</v>
      </c>
      <c r="E212" s="87">
        <f t="shared" si="7"/>
        <v>-7.6270392126023268E-3</v>
      </c>
    </row>
    <row r="213" spans="1:5" x14ac:dyDescent="0.2">
      <c r="A213" s="105" t="s">
        <v>750</v>
      </c>
      <c r="B213" s="106">
        <v>325</v>
      </c>
      <c r="C213" s="87">
        <f t="shared" si="6"/>
        <v>1.8634079544892934E-2</v>
      </c>
      <c r="D213" s="106">
        <v>88384.55</v>
      </c>
      <c r="E213" s="87">
        <f t="shared" si="7"/>
        <v>-3.9530496457800268E-3</v>
      </c>
    </row>
    <row r="214" spans="1:5" x14ac:dyDescent="0.2">
      <c r="A214" s="105" t="s">
        <v>751</v>
      </c>
      <c r="B214" s="106">
        <v>321.5</v>
      </c>
      <c r="C214" s="87">
        <f t="shared" si="6"/>
        <v>-1.0827638652063598E-2</v>
      </c>
      <c r="D214" s="106">
        <v>88092.61</v>
      </c>
      <c r="E214" s="87">
        <f t="shared" si="7"/>
        <v>-3.3085331417108677E-3</v>
      </c>
    </row>
    <row r="215" spans="1:5" x14ac:dyDescent="0.2">
      <c r="A215" s="105" t="s">
        <v>752</v>
      </c>
      <c r="B215" s="106">
        <v>322</v>
      </c>
      <c r="C215" s="87">
        <f t="shared" si="6"/>
        <v>1.5540018667348221E-3</v>
      </c>
      <c r="D215" s="106">
        <v>87797.29</v>
      </c>
      <c r="E215" s="87">
        <f t="shared" si="7"/>
        <v>-3.3580129104446854E-3</v>
      </c>
    </row>
    <row r="216" spans="1:5" x14ac:dyDescent="0.2">
      <c r="A216" s="105" t="s">
        <v>753</v>
      </c>
      <c r="B216" s="106">
        <v>331</v>
      </c>
      <c r="C216" s="87">
        <f t="shared" si="6"/>
        <v>2.7566829832654349E-2</v>
      </c>
      <c r="D216" s="106">
        <v>87387.58</v>
      </c>
      <c r="E216" s="87">
        <f t="shared" si="7"/>
        <v>-4.6774672606524348E-3</v>
      </c>
    </row>
    <row r="217" spans="1:5" x14ac:dyDescent="0.2">
      <c r="A217" s="105" t="s">
        <v>754</v>
      </c>
      <c r="B217" s="106">
        <v>326</v>
      </c>
      <c r="C217" s="87">
        <f t="shared" si="6"/>
        <v>-1.5220994010355149E-2</v>
      </c>
      <c r="D217" s="106">
        <v>86508.67</v>
      </c>
      <c r="E217" s="87">
        <f t="shared" si="7"/>
        <v>-1.0108527171528436E-2</v>
      </c>
    </row>
    <row r="218" spans="1:5" x14ac:dyDescent="0.2">
      <c r="A218" s="105" t="s">
        <v>755</v>
      </c>
      <c r="B218" s="106">
        <v>329.5</v>
      </c>
      <c r="C218" s="87">
        <f t="shared" si="6"/>
        <v>1.067897257585404E-2</v>
      </c>
      <c r="D218" s="106">
        <v>87427.54</v>
      </c>
      <c r="E218" s="87">
        <f t="shared" si="7"/>
        <v>1.0565695872909231E-2</v>
      </c>
    </row>
    <row r="219" spans="1:5" x14ac:dyDescent="0.2">
      <c r="A219" s="105" t="s">
        <v>756</v>
      </c>
      <c r="B219" s="106">
        <v>329</v>
      </c>
      <c r="C219" s="87">
        <f t="shared" si="6"/>
        <v>-1.5186031771898811E-3</v>
      </c>
      <c r="D219" s="106">
        <v>86888.67</v>
      </c>
      <c r="E219" s="87">
        <f t="shared" si="7"/>
        <v>-6.1826919774699007E-3</v>
      </c>
    </row>
    <row r="220" spans="1:5" x14ac:dyDescent="0.2">
      <c r="A220" s="105" t="s">
        <v>757</v>
      </c>
      <c r="B220" s="106">
        <v>325</v>
      </c>
      <c r="C220" s="87">
        <f t="shared" si="6"/>
        <v>-1.2232568435634583E-2</v>
      </c>
      <c r="D220" s="106">
        <v>86483.54</v>
      </c>
      <c r="E220" s="87">
        <f t="shared" si="7"/>
        <v>-4.6735372110919826E-3</v>
      </c>
    </row>
    <row r="221" spans="1:5" x14ac:dyDescent="0.2">
      <c r="A221" s="105" t="s">
        <v>758</v>
      </c>
      <c r="B221" s="106">
        <v>325</v>
      </c>
      <c r="C221" s="87">
        <f t="shared" si="6"/>
        <v>0</v>
      </c>
      <c r="D221" s="106">
        <v>86575.3</v>
      </c>
      <c r="E221" s="87">
        <f t="shared" si="7"/>
        <v>1.0604486728222895E-3</v>
      </c>
    </row>
    <row r="222" spans="1:5" x14ac:dyDescent="0.2">
      <c r="A222" s="105" t="s">
        <v>759</v>
      </c>
      <c r="B222" s="106">
        <v>325.5</v>
      </c>
      <c r="C222" s="87">
        <f t="shared" si="6"/>
        <v>1.5372793188870304E-3</v>
      </c>
      <c r="D222" s="106">
        <v>84393.73</v>
      </c>
      <c r="E222" s="87">
        <f t="shared" si="7"/>
        <v>-2.5521445743249771E-2</v>
      </c>
    </row>
    <row r="223" spans="1:5" x14ac:dyDescent="0.2">
      <c r="A223" s="105" t="s">
        <v>760</v>
      </c>
      <c r="B223" s="106">
        <v>325.5</v>
      </c>
      <c r="C223" s="87">
        <f t="shared" si="6"/>
        <v>0</v>
      </c>
      <c r="D223" s="106">
        <v>84569.65</v>
      </c>
      <c r="E223" s="87">
        <f t="shared" si="7"/>
        <v>2.0823454593319468E-3</v>
      </c>
    </row>
    <row r="224" spans="1:5" x14ac:dyDescent="0.2">
      <c r="A224" s="105" t="s">
        <v>761</v>
      </c>
      <c r="B224" s="106">
        <v>330</v>
      </c>
      <c r="C224" s="87">
        <f t="shared" si="6"/>
        <v>1.3730192811901354E-2</v>
      </c>
      <c r="D224" s="106">
        <v>85375.3</v>
      </c>
      <c r="E224" s="87">
        <f t="shared" si="7"/>
        <v>9.4813765918591031E-3</v>
      </c>
    </row>
    <row r="225" spans="1:5" x14ac:dyDescent="0.2">
      <c r="A225" s="105" t="s">
        <v>762</v>
      </c>
      <c r="B225" s="106">
        <v>325</v>
      </c>
      <c r="C225" s="87">
        <f t="shared" si="6"/>
        <v>-1.5267472130788384E-2</v>
      </c>
      <c r="D225" s="106">
        <v>84443.72</v>
      </c>
      <c r="E225" s="87">
        <f t="shared" si="7"/>
        <v>-1.0971554834014796E-2</v>
      </c>
    </row>
    <row r="226" spans="1:5" x14ac:dyDescent="0.2">
      <c r="A226" s="105" t="s">
        <v>763</v>
      </c>
      <c r="B226" s="106">
        <v>322.5</v>
      </c>
      <c r="C226" s="87">
        <f t="shared" si="6"/>
        <v>-7.7220460939102509E-3</v>
      </c>
      <c r="D226" s="106">
        <v>83535.02</v>
      </c>
      <c r="E226" s="87">
        <f t="shared" si="7"/>
        <v>-1.0819331829674539E-2</v>
      </c>
    </row>
    <row r="227" spans="1:5" x14ac:dyDescent="0.2">
      <c r="A227" s="105" t="s">
        <v>764</v>
      </c>
      <c r="B227" s="106">
        <v>337</v>
      </c>
      <c r="C227" s="87">
        <f t="shared" si="6"/>
        <v>4.3979794116534521E-2</v>
      </c>
      <c r="D227" s="106">
        <v>84201.22</v>
      </c>
      <c r="E227" s="87">
        <f t="shared" si="7"/>
        <v>7.9434653241605702E-3</v>
      </c>
    </row>
    <row r="228" spans="1:5" x14ac:dyDescent="0.2">
      <c r="A228" s="105" t="s">
        <v>765</v>
      </c>
      <c r="B228" s="106">
        <v>330</v>
      </c>
      <c r="C228" s="87">
        <f t="shared" si="6"/>
        <v>-2.0990275891835886E-2</v>
      </c>
      <c r="D228" s="106">
        <v>84839.47</v>
      </c>
      <c r="E228" s="87">
        <f t="shared" si="7"/>
        <v>7.5514721692169218E-3</v>
      </c>
    </row>
    <row r="229" spans="1:5" x14ac:dyDescent="0.2">
      <c r="A229" s="105" t="s">
        <v>766</v>
      </c>
      <c r="B229" s="106">
        <v>329.5</v>
      </c>
      <c r="C229" s="87">
        <f t="shared" si="6"/>
        <v>-1.51630051796392E-3</v>
      </c>
      <c r="D229" s="106">
        <v>84463.9</v>
      </c>
      <c r="E229" s="87">
        <f t="shared" si="7"/>
        <v>-4.4366584794843789E-3</v>
      </c>
    </row>
    <row r="230" spans="1:5" x14ac:dyDescent="0.2">
      <c r="A230" s="105" t="s">
        <v>767</v>
      </c>
      <c r="B230" s="106">
        <v>322</v>
      </c>
      <c r="C230" s="87">
        <f t="shared" si="6"/>
        <v>-2.302480839815324E-2</v>
      </c>
      <c r="D230" s="106">
        <v>83206.02</v>
      </c>
      <c r="E230" s="87">
        <f t="shared" si="7"/>
        <v>-1.5004523165366379E-2</v>
      </c>
    </row>
    <row r="231" spans="1:5" x14ac:dyDescent="0.2">
      <c r="A231" s="105" t="s">
        <v>768</v>
      </c>
      <c r="B231" s="106">
        <v>326</v>
      </c>
      <c r="C231" s="87">
        <f t="shared" si="6"/>
        <v>1.23458358222992E-2</v>
      </c>
      <c r="D231" s="106">
        <v>83189.460000000006</v>
      </c>
      <c r="E231" s="87">
        <f t="shared" si="7"/>
        <v>-1.9904386891589354E-4</v>
      </c>
    </row>
    <row r="232" spans="1:5" x14ac:dyDescent="0.2">
      <c r="A232" s="105" t="s">
        <v>769</v>
      </c>
      <c r="B232" s="106">
        <v>327</v>
      </c>
      <c r="C232" s="87">
        <f t="shared" si="6"/>
        <v>3.0627895305457287E-3</v>
      </c>
      <c r="D232" s="106">
        <v>82393.929999999993</v>
      </c>
      <c r="E232" s="87">
        <f t="shared" si="7"/>
        <v>-9.6088879564462104E-3</v>
      </c>
    </row>
    <row r="233" spans="1:5" x14ac:dyDescent="0.2">
      <c r="A233" s="105" t="s">
        <v>770</v>
      </c>
      <c r="B233" s="106">
        <v>325</v>
      </c>
      <c r="C233" s="87">
        <f t="shared" si="6"/>
        <v>-6.1349885675161531E-3</v>
      </c>
      <c r="D233" s="106">
        <v>81281.34</v>
      </c>
      <c r="E233" s="87">
        <f t="shared" si="7"/>
        <v>-1.3595299238732039E-2</v>
      </c>
    </row>
    <row r="234" spans="1:5" x14ac:dyDescent="0.2">
      <c r="A234" s="105" t="s">
        <v>771</v>
      </c>
      <c r="B234" s="106">
        <v>327</v>
      </c>
      <c r="C234" s="87">
        <f t="shared" si="6"/>
        <v>6.1349885675161531E-3</v>
      </c>
      <c r="D234" s="106">
        <v>83173.119999999995</v>
      </c>
      <c r="E234" s="87">
        <f t="shared" si="7"/>
        <v>2.3007748788746341E-2</v>
      </c>
    </row>
    <row r="235" spans="1:5" x14ac:dyDescent="0.2">
      <c r="A235" s="105" t="s">
        <v>772</v>
      </c>
      <c r="B235" s="106">
        <v>327</v>
      </c>
      <c r="C235" s="87">
        <f t="shared" si="6"/>
        <v>0</v>
      </c>
      <c r="D235" s="106">
        <v>82864.67</v>
      </c>
      <c r="E235" s="87">
        <f t="shared" si="7"/>
        <v>-3.7154235168976868E-3</v>
      </c>
    </row>
    <row r="236" spans="1:5" x14ac:dyDescent="0.2">
      <c r="A236" s="105" t="s">
        <v>773</v>
      </c>
      <c r="B236" s="106">
        <v>330</v>
      </c>
      <c r="C236" s="87">
        <f t="shared" si="6"/>
        <v>9.1324835632722312E-3</v>
      </c>
      <c r="D236" s="106">
        <v>83492.28</v>
      </c>
      <c r="E236" s="87">
        <f t="shared" si="7"/>
        <v>7.5453773061582297E-3</v>
      </c>
    </row>
    <row r="237" spans="1:5" x14ac:dyDescent="0.2">
      <c r="A237" s="105" t="s">
        <v>774</v>
      </c>
      <c r="B237" s="106">
        <v>333</v>
      </c>
      <c r="C237" s="87">
        <f t="shared" si="6"/>
        <v>9.0498355199182257E-3</v>
      </c>
      <c r="D237" s="106">
        <v>84406.399999999994</v>
      </c>
      <c r="E237" s="87">
        <f t="shared" si="7"/>
        <v>1.0889055618141796E-2</v>
      </c>
    </row>
    <row r="238" spans="1:5" x14ac:dyDescent="0.2">
      <c r="A238" s="105" t="s">
        <v>775</v>
      </c>
      <c r="B238" s="106">
        <v>328.5</v>
      </c>
      <c r="C238" s="87">
        <f t="shared" si="6"/>
        <v>-1.360565205577835E-2</v>
      </c>
      <c r="D238" s="106">
        <v>83705.16</v>
      </c>
      <c r="E238" s="87">
        <f t="shared" si="7"/>
        <v>-8.3426037701528344E-3</v>
      </c>
    </row>
    <row r="239" spans="1:5" x14ac:dyDescent="0.2">
      <c r="A239" s="105" t="s">
        <v>776</v>
      </c>
      <c r="B239" s="106">
        <v>330</v>
      </c>
      <c r="C239" s="87">
        <f t="shared" si="6"/>
        <v>4.5558165358601244E-3</v>
      </c>
      <c r="D239" s="106">
        <v>84664.91</v>
      </c>
      <c r="E239" s="87">
        <f t="shared" si="7"/>
        <v>1.1400605762943883E-2</v>
      </c>
    </row>
    <row r="240" spans="1:5" x14ac:dyDescent="0.2">
      <c r="A240" s="105" t="s">
        <v>777</v>
      </c>
      <c r="B240" s="106">
        <v>332.5</v>
      </c>
      <c r="C240" s="87">
        <f t="shared" si="6"/>
        <v>7.5472056353831363E-3</v>
      </c>
      <c r="D240" s="106">
        <v>83642.11</v>
      </c>
      <c r="E240" s="87">
        <f t="shared" si="7"/>
        <v>-1.2154128697417832E-2</v>
      </c>
    </row>
    <row r="241" spans="1:5" x14ac:dyDescent="0.2">
      <c r="A241" s="105" t="s">
        <v>778</v>
      </c>
      <c r="B241" s="106">
        <v>340.5</v>
      </c>
      <c r="C241" s="87">
        <f t="shared" si="6"/>
        <v>2.3775265493657827E-2</v>
      </c>
      <c r="D241" s="106">
        <v>83866.960000000006</v>
      </c>
      <c r="E241" s="87">
        <f t="shared" si="7"/>
        <v>2.6846323610527634E-3</v>
      </c>
    </row>
    <row r="242" spans="1:5" x14ac:dyDescent="0.2">
      <c r="A242" s="105" t="s">
        <v>779</v>
      </c>
      <c r="B242" s="106">
        <v>329</v>
      </c>
      <c r="C242" s="87">
        <f t="shared" si="6"/>
        <v>-3.4357374824194764E-2</v>
      </c>
      <c r="D242" s="106">
        <v>82863.210000000006</v>
      </c>
      <c r="E242" s="87">
        <f t="shared" si="7"/>
        <v>-1.2040557824995801E-2</v>
      </c>
    </row>
    <row r="243" spans="1:5" x14ac:dyDescent="0.2">
      <c r="A243" s="105" t="s">
        <v>780</v>
      </c>
      <c r="B243" s="106">
        <v>329</v>
      </c>
      <c r="C243" s="87">
        <f t="shared" si="6"/>
        <v>0</v>
      </c>
      <c r="D243" s="106">
        <v>82895.600000000006</v>
      </c>
      <c r="E243" s="87">
        <f t="shared" si="7"/>
        <v>3.9080879516717459E-4</v>
      </c>
    </row>
    <row r="244" spans="1:5" x14ac:dyDescent="0.2">
      <c r="A244" s="105" t="s">
        <v>781</v>
      </c>
      <c r="B244" s="106">
        <v>326</v>
      </c>
      <c r="C244" s="87">
        <f t="shared" si="6"/>
        <v>-9.1603693986641588E-3</v>
      </c>
      <c r="D244" s="106">
        <v>82745.58</v>
      </c>
      <c r="E244" s="87">
        <f t="shared" si="7"/>
        <v>-1.8113858041743924E-3</v>
      </c>
    </row>
    <row r="245" spans="1:5" x14ac:dyDescent="0.2">
      <c r="A245" s="105" t="s">
        <v>782</v>
      </c>
      <c r="B245" s="106">
        <v>323</v>
      </c>
      <c r="C245" s="87">
        <f t="shared" si="6"/>
        <v>-9.2450581440512991E-3</v>
      </c>
      <c r="D245" s="106">
        <v>81560.33</v>
      </c>
      <c r="E245" s="87">
        <f t="shared" si="7"/>
        <v>-1.4427607134219755E-2</v>
      </c>
    </row>
    <row r="246" spans="1:5" x14ac:dyDescent="0.2">
      <c r="A246" s="105" t="s">
        <v>783</v>
      </c>
      <c r="B246" s="106">
        <v>324</v>
      </c>
      <c r="C246" s="87">
        <f t="shared" si="6"/>
        <v>3.0911925696726072E-3</v>
      </c>
      <c r="D246" s="106">
        <v>81286.31</v>
      </c>
      <c r="E246" s="87">
        <f t="shared" si="7"/>
        <v>-3.3653781081870449E-3</v>
      </c>
    </row>
    <row r="247" spans="1:5" x14ac:dyDescent="0.2">
      <c r="A247" s="105" t="s">
        <v>784</v>
      </c>
      <c r="B247" s="106">
        <v>323</v>
      </c>
      <c r="C247" s="87">
        <f t="shared" si="6"/>
        <v>-3.0911925696726072E-3</v>
      </c>
      <c r="D247" s="106">
        <v>80081.149999999994</v>
      </c>
      <c r="E247" s="87">
        <f t="shared" si="7"/>
        <v>-1.493711814769938E-2</v>
      </c>
    </row>
    <row r="248" spans="1:5" x14ac:dyDescent="0.2">
      <c r="A248" s="105" t="s">
        <v>785</v>
      </c>
      <c r="B248" s="106">
        <v>319</v>
      </c>
      <c r="C248" s="87">
        <f t="shared" si="6"/>
        <v>-1.2461220437812059E-2</v>
      </c>
      <c r="D248" s="106">
        <v>80992.639999999999</v>
      </c>
      <c r="E248" s="87">
        <f t="shared" si="7"/>
        <v>1.1317790803293093E-2</v>
      </c>
    </row>
    <row r="249" spans="1:5" x14ac:dyDescent="0.2">
      <c r="A249" s="105" t="s">
        <v>786</v>
      </c>
      <c r="B249" s="106">
        <v>310</v>
      </c>
      <c r="C249" s="87">
        <f t="shared" si="6"/>
        <v>-2.8618805305652195E-2</v>
      </c>
      <c r="D249" s="106">
        <v>81814.929999999993</v>
      </c>
      <c r="E249" s="87">
        <f t="shared" si="7"/>
        <v>1.0101458945158015E-2</v>
      </c>
    </row>
    <row r="250" spans="1:5" x14ac:dyDescent="0.2">
      <c r="A250" s="105" t="s">
        <v>787</v>
      </c>
      <c r="B250" s="106">
        <v>308</v>
      </c>
      <c r="C250" s="87">
        <f t="shared" si="6"/>
        <v>-6.4725145056181432E-3</v>
      </c>
      <c r="D250" s="106">
        <v>79709.279999999999</v>
      </c>
      <c r="E250" s="87">
        <f t="shared" si="7"/>
        <v>-2.6073729636323151E-2</v>
      </c>
    </row>
    <row r="251" spans="1:5" x14ac:dyDescent="0.2">
      <c r="A251" s="105" t="s">
        <v>788</v>
      </c>
      <c r="B251" s="106">
        <v>307</v>
      </c>
      <c r="C251" s="87">
        <f t="shared" si="6"/>
        <v>-3.2520353863771945E-3</v>
      </c>
      <c r="D251" s="106">
        <v>79698.759999999995</v>
      </c>
      <c r="E251" s="87">
        <f t="shared" si="7"/>
        <v>-1.3198832399297089E-4</v>
      </c>
    </row>
    <row r="252" spans="1:5" x14ac:dyDescent="0.2">
      <c r="A252" s="105" t="s">
        <v>789</v>
      </c>
      <c r="B252" s="106">
        <v>311.5</v>
      </c>
      <c r="C252" s="87">
        <f t="shared" si="6"/>
        <v>1.4551590640310863E-2</v>
      </c>
      <c r="D252" s="106">
        <v>79997.2</v>
      </c>
      <c r="E252" s="87">
        <f t="shared" si="7"/>
        <v>3.7376067300201044E-3</v>
      </c>
    </row>
    <row r="253" spans="1:5" x14ac:dyDescent="0.2">
      <c r="A253" s="105" t="s">
        <v>790</v>
      </c>
      <c r="B253" s="106">
        <v>315.5</v>
      </c>
      <c r="C253" s="87">
        <f t="shared" si="6"/>
        <v>1.2759343753760533E-2</v>
      </c>
      <c r="D253" s="106">
        <v>80199.350000000006</v>
      </c>
      <c r="E253" s="87">
        <f t="shared" si="7"/>
        <v>2.5237760401033427E-3</v>
      </c>
    </row>
    <row r="254" spans="1:5" x14ac:dyDescent="0.2">
      <c r="A254" s="105" t="s">
        <v>791</v>
      </c>
      <c r="B254" s="106">
        <v>313</v>
      </c>
      <c r="C254" s="87">
        <f t="shared" si="6"/>
        <v>-7.9554914411152922E-3</v>
      </c>
      <c r="D254" s="106">
        <v>81787.89</v>
      </c>
      <c r="E254" s="87">
        <f t="shared" si="7"/>
        <v>1.9613778537854287E-2</v>
      </c>
    </row>
    <row r="255" spans="1:5" x14ac:dyDescent="0.2">
      <c r="A255" s="105" t="s">
        <v>792</v>
      </c>
      <c r="B255" s="106">
        <v>312.5</v>
      </c>
      <c r="C255" s="87">
        <f t="shared" si="6"/>
        <v>-1.5987213636963205E-3</v>
      </c>
      <c r="D255" s="106">
        <v>81647.320000000007</v>
      </c>
      <c r="E255" s="87">
        <f t="shared" si="7"/>
        <v>-1.7201927866459243E-3</v>
      </c>
    </row>
    <row r="256" spans="1:5" x14ac:dyDescent="0.2">
      <c r="A256" s="105" t="s">
        <v>793</v>
      </c>
      <c r="B256" s="106">
        <v>314</v>
      </c>
      <c r="C256" s="87">
        <f t="shared" si="6"/>
        <v>4.7885167317964772E-3</v>
      </c>
      <c r="D256" s="106">
        <v>81916.429999999993</v>
      </c>
      <c r="E256" s="87">
        <f t="shared" si="7"/>
        <v>3.2905853873597124E-3</v>
      </c>
    </row>
    <row r="257" spans="1:5" x14ac:dyDescent="0.2">
      <c r="A257" s="105" t="s">
        <v>794</v>
      </c>
      <c r="B257" s="106">
        <v>309</v>
      </c>
      <c r="C257" s="87">
        <f t="shared" si="6"/>
        <v>-1.6051709010507231E-2</v>
      </c>
      <c r="D257" s="106">
        <v>80359.429999999993</v>
      </c>
      <c r="E257" s="87">
        <f t="shared" si="7"/>
        <v>-1.919013439959727E-2</v>
      </c>
    </row>
    <row r="258" spans="1:5" x14ac:dyDescent="0.2">
      <c r="A258" s="105" t="s">
        <v>795</v>
      </c>
      <c r="B258" s="106">
        <v>302</v>
      </c>
      <c r="C258" s="87">
        <f t="shared" si="6"/>
        <v>-2.2914259522876179E-2</v>
      </c>
      <c r="D258" s="106">
        <v>80199.539999999994</v>
      </c>
      <c r="E258" s="87">
        <f t="shared" si="7"/>
        <v>-1.9916676452709225E-3</v>
      </c>
    </row>
    <row r="259" spans="1:5" x14ac:dyDescent="0.2">
      <c r="A259" s="105" t="s">
        <v>796</v>
      </c>
      <c r="B259" s="106">
        <v>305</v>
      </c>
      <c r="C259" s="87">
        <f t="shared" si="6"/>
        <v>9.8847592325421729E-3</v>
      </c>
      <c r="D259" s="106">
        <v>79879.199999999997</v>
      </c>
      <c r="E259" s="87">
        <f t="shared" si="7"/>
        <v>-4.0022857202401951E-3</v>
      </c>
    </row>
    <row r="260" spans="1:5" x14ac:dyDescent="0.2">
      <c r="A260" s="105" t="s">
        <v>797</v>
      </c>
      <c r="B260" s="106">
        <v>309</v>
      </c>
      <c r="C260" s="87">
        <f t="shared" si="6"/>
        <v>1.3029500290334006E-2</v>
      </c>
      <c r="D260" s="106">
        <v>80742.03</v>
      </c>
      <c r="E260" s="87">
        <f t="shared" si="7"/>
        <v>1.0743764066297956E-2</v>
      </c>
    </row>
    <row r="261" spans="1:5" x14ac:dyDescent="0.2">
      <c r="A261" s="105" t="s">
        <v>798</v>
      </c>
      <c r="B261" s="106">
        <v>315</v>
      </c>
      <c r="C261" s="87">
        <f t="shared" ref="C261:C324" si="8">LN(B261)-LN(B260)</f>
        <v>1.9231361927887214E-2</v>
      </c>
      <c r="D261" s="106">
        <v>80537.55</v>
      </c>
      <c r="E261" s="87">
        <f t="shared" ref="E261:E324" si="9">LN(D261)-LN(D260)</f>
        <v>-2.5357222478543662E-3</v>
      </c>
    </row>
    <row r="262" spans="1:5" x14ac:dyDescent="0.2">
      <c r="A262" s="105" t="s">
        <v>799</v>
      </c>
      <c r="B262" s="106">
        <v>306</v>
      </c>
      <c r="C262" s="87">
        <f t="shared" si="8"/>
        <v>-2.8987536873252395E-2</v>
      </c>
      <c r="D262" s="106">
        <v>81264.27</v>
      </c>
      <c r="E262" s="87">
        <f t="shared" si="9"/>
        <v>8.9829012644244699E-3</v>
      </c>
    </row>
    <row r="263" spans="1:5" x14ac:dyDescent="0.2">
      <c r="A263" s="105" t="s">
        <v>392</v>
      </c>
      <c r="B263" s="106">
        <v>308</v>
      </c>
      <c r="C263" s="87">
        <f t="shared" si="8"/>
        <v>6.514681021193347E-3</v>
      </c>
      <c r="D263" s="106">
        <v>82172.36</v>
      </c>
      <c r="E263" s="87">
        <f t="shared" si="9"/>
        <v>1.1112555917243583E-2</v>
      </c>
    </row>
    <row r="264" spans="1:5" x14ac:dyDescent="0.2">
      <c r="A264" s="105" t="s">
        <v>800</v>
      </c>
      <c r="B264" s="106">
        <v>306</v>
      </c>
      <c r="C264" s="87">
        <f t="shared" si="8"/>
        <v>-6.514681021193347E-3</v>
      </c>
      <c r="D264" s="106">
        <v>81944.56</v>
      </c>
      <c r="E264" s="87">
        <f t="shared" si="9"/>
        <v>-2.7760714287889954E-3</v>
      </c>
    </row>
    <row r="265" spans="1:5" x14ac:dyDescent="0.2">
      <c r="A265" s="105" t="s">
        <v>801</v>
      </c>
      <c r="B265" s="106">
        <v>314.5</v>
      </c>
      <c r="C265" s="87">
        <f t="shared" si="8"/>
        <v>2.7398974188114877E-2</v>
      </c>
      <c r="D265" s="106">
        <v>81661.42</v>
      </c>
      <c r="E265" s="87">
        <f t="shared" si="9"/>
        <v>-3.4612461313869858E-3</v>
      </c>
    </row>
    <row r="266" spans="1:5" x14ac:dyDescent="0.2">
      <c r="A266" s="105" t="s">
        <v>802</v>
      </c>
      <c r="B266" s="106">
        <v>315.5</v>
      </c>
      <c r="C266" s="87">
        <f t="shared" si="8"/>
        <v>3.1746058407726707E-3</v>
      </c>
      <c r="D266" s="106">
        <v>83007.320000000007</v>
      </c>
      <c r="E266" s="87">
        <f t="shared" si="9"/>
        <v>1.6347121764061612E-2</v>
      </c>
    </row>
    <row r="267" spans="1:5" x14ac:dyDescent="0.2">
      <c r="A267" s="105" t="s">
        <v>803</v>
      </c>
      <c r="B267" s="106">
        <v>314</v>
      </c>
      <c r="C267" s="87">
        <f t="shared" si="8"/>
        <v>-4.7656960730151354E-3</v>
      </c>
      <c r="D267" s="106">
        <v>83116.289999999994</v>
      </c>
      <c r="E267" s="87">
        <f t="shared" si="9"/>
        <v>1.3119148521898438E-3</v>
      </c>
    </row>
    <row r="268" spans="1:5" x14ac:dyDescent="0.2">
      <c r="A268" s="105" t="s">
        <v>804</v>
      </c>
      <c r="B268" s="106">
        <v>315</v>
      </c>
      <c r="C268" s="87">
        <f t="shared" si="8"/>
        <v>3.1796529173799826E-3</v>
      </c>
      <c r="D268" s="106">
        <v>83265.56</v>
      </c>
      <c r="E268" s="87">
        <f t="shared" si="9"/>
        <v>1.7943067714227823E-3</v>
      </c>
    </row>
    <row r="269" spans="1:5" x14ac:dyDescent="0.2">
      <c r="A269" s="105" t="s">
        <v>805</v>
      </c>
      <c r="B269" s="106">
        <v>316.5</v>
      </c>
      <c r="C269" s="87">
        <f t="shared" si="8"/>
        <v>4.7506027585981769E-3</v>
      </c>
      <c r="D269" s="106">
        <v>82464.52</v>
      </c>
      <c r="E269" s="87">
        <f t="shared" si="9"/>
        <v>-9.6668780705506663E-3</v>
      </c>
    </row>
    <row r="270" spans="1:5" x14ac:dyDescent="0.2">
      <c r="A270" s="105" t="s">
        <v>806</v>
      </c>
      <c r="B270" s="106">
        <v>317.5</v>
      </c>
      <c r="C270" s="87">
        <f t="shared" si="8"/>
        <v>3.1545767485150478E-3</v>
      </c>
      <c r="D270" s="106">
        <v>81412.34</v>
      </c>
      <c r="E270" s="87">
        <f t="shared" si="9"/>
        <v>-1.2841281661570392E-2</v>
      </c>
    </row>
    <row r="271" spans="1:5" x14ac:dyDescent="0.2">
      <c r="A271" s="105" t="s">
        <v>807</v>
      </c>
      <c r="B271" s="106">
        <v>322</v>
      </c>
      <c r="C271" s="87">
        <f t="shared" si="8"/>
        <v>1.4073727211662224E-2</v>
      </c>
      <c r="D271" s="106">
        <v>81780.509999999995</v>
      </c>
      <c r="E271" s="87">
        <f t="shared" si="9"/>
        <v>4.5120925902111253E-3</v>
      </c>
    </row>
    <row r="272" spans="1:5" x14ac:dyDescent="0.2">
      <c r="A272" s="105" t="s">
        <v>808</v>
      </c>
      <c r="B272" s="106">
        <v>320</v>
      </c>
      <c r="C272" s="87">
        <f t="shared" si="8"/>
        <v>-6.2305497506365271E-3</v>
      </c>
      <c r="D272" s="106">
        <v>80827.33</v>
      </c>
      <c r="E272" s="87">
        <f t="shared" si="9"/>
        <v>-1.1723800250447169E-2</v>
      </c>
    </row>
    <row r="273" spans="1:5" x14ac:dyDescent="0.2">
      <c r="A273" s="105" t="s">
        <v>809</v>
      </c>
      <c r="B273" s="106">
        <v>314</v>
      </c>
      <c r="C273" s="87">
        <f t="shared" si="8"/>
        <v>-1.8928009885518904E-2</v>
      </c>
      <c r="D273" s="106">
        <v>80147.009999999995</v>
      </c>
      <c r="E273" s="87">
        <f t="shared" si="9"/>
        <v>-8.4525776034976019E-3</v>
      </c>
    </row>
    <row r="274" spans="1:5" x14ac:dyDescent="0.2">
      <c r="A274" s="105" t="s">
        <v>810</v>
      </c>
      <c r="B274" s="106">
        <v>313.5</v>
      </c>
      <c r="C274" s="87">
        <f t="shared" si="8"/>
        <v>-1.5936258352775567E-3</v>
      </c>
      <c r="D274" s="106">
        <v>79333.22</v>
      </c>
      <c r="E274" s="87">
        <f t="shared" si="9"/>
        <v>-1.0205616875769152E-2</v>
      </c>
    </row>
    <row r="275" spans="1:5" x14ac:dyDescent="0.2">
      <c r="A275" s="105" t="s">
        <v>811</v>
      </c>
      <c r="B275" s="106">
        <v>314</v>
      </c>
      <c r="C275" s="87">
        <f t="shared" si="8"/>
        <v>1.5936258352775567E-3</v>
      </c>
      <c r="D275" s="106">
        <v>79421.210000000006</v>
      </c>
      <c r="E275" s="87">
        <f t="shared" si="9"/>
        <v>1.1085046131942278E-3</v>
      </c>
    </row>
    <row r="276" spans="1:5" x14ac:dyDescent="0.2">
      <c r="A276" s="105" t="s">
        <v>812</v>
      </c>
      <c r="B276" s="106">
        <v>311</v>
      </c>
      <c r="C276" s="87">
        <f t="shared" si="8"/>
        <v>-9.6000737290191651E-3</v>
      </c>
      <c r="D276" s="106">
        <v>78038.67</v>
      </c>
      <c r="E276" s="87">
        <f t="shared" si="9"/>
        <v>-1.7560987976711573E-2</v>
      </c>
    </row>
    <row r="277" spans="1:5" x14ac:dyDescent="0.2">
      <c r="A277" s="105" t="s">
        <v>813</v>
      </c>
      <c r="B277" s="106">
        <v>318</v>
      </c>
      <c r="C277" s="87">
        <f t="shared" si="8"/>
        <v>2.2258470600942992E-2</v>
      </c>
      <c r="D277" s="106">
        <v>79424.63</v>
      </c>
      <c r="E277" s="87">
        <f t="shared" si="9"/>
        <v>1.7604048594483501E-2</v>
      </c>
    </row>
    <row r="278" spans="1:5" x14ac:dyDescent="0.2">
      <c r="A278" s="105" t="s">
        <v>814</v>
      </c>
      <c r="B278" s="106">
        <v>317</v>
      </c>
      <c r="C278" s="87">
        <f t="shared" si="8"/>
        <v>-3.1496089028966168E-3</v>
      </c>
      <c r="D278" s="106">
        <v>78450.66</v>
      </c>
      <c r="E278" s="87">
        <f t="shared" si="9"/>
        <v>-1.2338629516317923E-2</v>
      </c>
    </row>
    <row r="279" spans="1:5" x14ac:dyDescent="0.2">
      <c r="A279" s="105" t="s">
        <v>815</v>
      </c>
      <c r="B279" s="106">
        <v>328.5</v>
      </c>
      <c r="C279" s="87">
        <f t="shared" si="8"/>
        <v>3.5635064047385256E-2</v>
      </c>
      <c r="D279" s="106">
        <v>78711.66</v>
      </c>
      <c r="E279" s="87">
        <f t="shared" si="9"/>
        <v>3.3214098639007261E-3</v>
      </c>
    </row>
    <row r="280" spans="1:5" x14ac:dyDescent="0.2">
      <c r="A280" s="105" t="s">
        <v>816</v>
      </c>
      <c r="B280" s="106">
        <v>328</v>
      </c>
      <c r="C280" s="87">
        <f t="shared" si="8"/>
        <v>-1.5232295405214202E-3</v>
      </c>
      <c r="D280" s="106">
        <v>79473.350000000006</v>
      </c>
      <c r="E280" s="87">
        <f t="shared" si="9"/>
        <v>9.6304433262091038E-3</v>
      </c>
    </row>
    <row r="281" spans="1:5" x14ac:dyDescent="0.2">
      <c r="A281" s="105" t="s">
        <v>817</v>
      </c>
      <c r="B281" s="106">
        <v>328</v>
      </c>
      <c r="C281" s="87">
        <f t="shared" si="8"/>
        <v>0</v>
      </c>
      <c r="D281" s="106">
        <v>79150.11</v>
      </c>
      <c r="E281" s="87">
        <f t="shared" si="9"/>
        <v>-4.0755692433531721E-3</v>
      </c>
    </row>
    <row r="282" spans="1:5" x14ac:dyDescent="0.2">
      <c r="A282" s="105" t="s">
        <v>818</v>
      </c>
      <c r="B282" s="106">
        <v>328</v>
      </c>
      <c r="C282" s="87">
        <f t="shared" si="8"/>
        <v>0</v>
      </c>
      <c r="D282" s="106">
        <v>79002.75</v>
      </c>
      <c r="E282" s="87">
        <f t="shared" si="9"/>
        <v>-1.8635141045759696E-3</v>
      </c>
    </row>
    <row r="283" spans="1:5" x14ac:dyDescent="0.2">
      <c r="A283" s="105" t="s">
        <v>819</v>
      </c>
      <c r="B283" s="106">
        <v>320</v>
      </c>
      <c r="C283" s="87">
        <f t="shared" si="8"/>
        <v>-2.4692612590372143E-2</v>
      </c>
      <c r="D283" s="106">
        <v>79575.14</v>
      </c>
      <c r="E283" s="87">
        <f t="shared" si="9"/>
        <v>7.2190705253909471E-3</v>
      </c>
    </row>
    <row r="284" spans="1:5" x14ac:dyDescent="0.2">
      <c r="A284" s="105" t="s">
        <v>393</v>
      </c>
      <c r="B284" s="106">
        <v>320</v>
      </c>
      <c r="C284" s="87">
        <f t="shared" si="8"/>
        <v>0</v>
      </c>
      <c r="D284" s="106">
        <v>78417.88</v>
      </c>
      <c r="E284" s="87">
        <f t="shared" si="9"/>
        <v>-1.4649769934292678E-2</v>
      </c>
    </row>
    <row r="285" spans="1:5" x14ac:dyDescent="0.2">
      <c r="A285" s="105" t="s">
        <v>820</v>
      </c>
      <c r="B285" s="106">
        <v>312.5</v>
      </c>
      <c r="C285" s="87">
        <f t="shared" si="8"/>
        <v>-2.3716526617315381E-2</v>
      </c>
      <c r="D285" s="106">
        <v>77416.31</v>
      </c>
      <c r="E285" s="87">
        <f t="shared" si="9"/>
        <v>-1.2854480668032409E-2</v>
      </c>
    </row>
    <row r="286" spans="1:5" x14ac:dyDescent="0.2">
      <c r="A286" s="105" t="s">
        <v>821</v>
      </c>
      <c r="B286" s="106">
        <v>311</v>
      </c>
      <c r="C286" s="87">
        <f t="shared" si="8"/>
        <v>-4.8115569972226879E-3</v>
      </c>
      <c r="D286" s="106">
        <v>76072.25</v>
      </c>
      <c r="E286" s="87">
        <f t="shared" si="9"/>
        <v>-1.7513935318778096E-2</v>
      </c>
    </row>
    <row r="287" spans="1:5" x14ac:dyDescent="0.2">
      <c r="A287" s="105" t="s">
        <v>822</v>
      </c>
      <c r="B287" s="106">
        <v>316</v>
      </c>
      <c r="C287" s="87">
        <f t="shared" si="8"/>
        <v>1.5949301407678362E-2</v>
      </c>
      <c r="D287" s="106">
        <v>75347.11</v>
      </c>
      <c r="E287" s="87">
        <f t="shared" si="9"/>
        <v>-9.5779766014594259E-3</v>
      </c>
    </row>
    <row r="288" spans="1:5" x14ac:dyDescent="0.2">
      <c r="A288" s="105" t="s">
        <v>823</v>
      </c>
      <c r="B288" s="106">
        <v>316</v>
      </c>
      <c r="C288" s="87">
        <f t="shared" si="8"/>
        <v>0</v>
      </c>
      <c r="D288" s="106">
        <v>75683.59</v>
      </c>
      <c r="E288" s="87">
        <f t="shared" si="9"/>
        <v>4.4557902030231133E-3</v>
      </c>
    </row>
    <row r="289" spans="1:5" x14ac:dyDescent="0.2">
      <c r="A289" s="105" t="s">
        <v>824</v>
      </c>
      <c r="B289" s="106">
        <v>316</v>
      </c>
      <c r="C289" s="87">
        <f t="shared" si="8"/>
        <v>0</v>
      </c>
      <c r="D289" s="106">
        <v>75219.710000000006</v>
      </c>
      <c r="E289" s="87">
        <f t="shared" si="9"/>
        <v>-6.1480625164556102E-3</v>
      </c>
    </row>
    <row r="290" spans="1:5" x14ac:dyDescent="0.2">
      <c r="A290" s="105" t="s">
        <v>825</v>
      </c>
      <c r="B290" s="106">
        <v>316</v>
      </c>
      <c r="C290" s="87">
        <f t="shared" si="8"/>
        <v>0</v>
      </c>
      <c r="D290" s="106">
        <v>75351.320000000007</v>
      </c>
      <c r="E290" s="87">
        <f t="shared" si="9"/>
        <v>1.7481454900956095E-3</v>
      </c>
    </row>
    <row r="291" spans="1:5" x14ac:dyDescent="0.2">
      <c r="A291" s="105" t="s">
        <v>826</v>
      </c>
      <c r="B291" s="106">
        <v>315</v>
      </c>
      <c r="C291" s="87">
        <f t="shared" si="8"/>
        <v>-3.1695747612792147E-3</v>
      </c>
      <c r="D291" s="106">
        <v>74601.919999999998</v>
      </c>
      <c r="E291" s="87">
        <f t="shared" si="9"/>
        <v>-9.9951990233044796E-3</v>
      </c>
    </row>
    <row r="292" spans="1:5" x14ac:dyDescent="0.2">
      <c r="A292" s="105" t="s">
        <v>827</v>
      </c>
      <c r="B292" s="106">
        <v>317.5</v>
      </c>
      <c r="C292" s="87">
        <f t="shared" si="8"/>
        <v>7.9051795071132247E-3</v>
      </c>
      <c r="D292" s="106">
        <v>74954.240000000005</v>
      </c>
      <c r="E292" s="87">
        <f t="shared" si="9"/>
        <v>4.7115498519580967E-3</v>
      </c>
    </row>
    <row r="293" spans="1:5" x14ac:dyDescent="0.2">
      <c r="A293" s="105" t="s">
        <v>828</v>
      </c>
      <c r="B293" s="106">
        <v>314.5</v>
      </c>
      <c r="C293" s="87">
        <f t="shared" si="8"/>
        <v>-9.4937421922507426E-3</v>
      </c>
      <c r="D293" s="106">
        <v>74774.929999999993</v>
      </c>
      <c r="E293" s="87">
        <f t="shared" si="9"/>
        <v>-2.3951256220762218E-3</v>
      </c>
    </row>
    <row r="294" spans="1:5" x14ac:dyDescent="0.2">
      <c r="A294" s="105" t="s">
        <v>829</v>
      </c>
      <c r="B294" s="106">
        <v>315</v>
      </c>
      <c r="C294" s="87">
        <f t="shared" si="8"/>
        <v>1.5885626851375179E-3</v>
      </c>
      <c r="D294" s="106">
        <v>74367.89</v>
      </c>
      <c r="E294" s="87">
        <f t="shared" si="9"/>
        <v>-5.4584057163253874E-3</v>
      </c>
    </row>
    <row r="295" spans="1:5" x14ac:dyDescent="0.2">
      <c r="A295" s="105" t="s">
        <v>830</v>
      </c>
      <c r="B295" s="106">
        <v>314</v>
      </c>
      <c r="C295" s="87">
        <f t="shared" si="8"/>
        <v>-3.1796529173799826E-3</v>
      </c>
      <c r="D295" s="106">
        <v>73582.3</v>
      </c>
      <c r="E295" s="87">
        <f t="shared" si="9"/>
        <v>-1.0619754975241591E-2</v>
      </c>
    </row>
    <row r="296" spans="1:5" x14ac:dyDescent="0.2">
      <c r="A296" s="105" t="s">
        <v>831</v>
      </c>
      <c r="B296" s="106">
        <v>317</v>
      </c>
      <c r="C296" s="87">
        <f t="shared" si="8"/>
        <v>9.5087879690272104E-3</v>
      </c>
      <c r="D296" s="106">
        <v>74950.09</v>
      </c>
      <c r="E296" s="87">
        <f t="shared" si="9"/>
        <v>1.8417917666171846E-2</v>
      </c>
    </row>
    <row r="297" spans="1:5" x14ac:dyDescent="0.2">
      <c r="A297" s="105" t="s">
        <v>832</v>
      </c>
      <c r="B297" s="106">
        <v>318</v>
      </c>
      <c r="C297" s="87">
        <f t="shared" si="8"/>
        <v>3.1496089028966168E-3</v>
      </c>
      <c r="D297" s="106">
        <v>75127.539999999994</v>
      </c>
      <c r="E297" s="87">
        <f t="shared" si="9"/>
        <v>2.3647772515360543E-3</v>
      </c>
    </row>
    <row r="298" spans="1:5" x14ac:dyDescent="0.2">
      <c r="A298" s="105" t="s">
        <v>833</v>
      </c>
      <c r="B298" s="106">
        <v>319</v>
      </c>
      <c r="C298" s="87">
        <f t="shared" si="8"/>
        <v>3.1397200046674456E-3</v>
      </c>
      <c r="D298" s="106">
        <v>76106.23</v>
      </c>
      <c r="E298" s="87">
        <f t="shared" si="9"/>
        <v>1.2942924882683116E-2</v>
      </c>
    </row>
    <row r="299" spans="1:5" x14ac:dyDescent="0.2">
      <c r="A299" s="105" t="s">
        <v>834</v>
      </c>
      <c r="B299" s="106">
        <v>316</v>
      </c>
      <c r="C299" s="87">
        <f t="shared" si="8"/>
        <v>-9.4488891979320755E-3</v>
      </c>
      <c r="D299" s="106">
        <v>76042.95</v>
      </c>
      <c r="E299" s="87">
        <f t="shared" si="9"/>
        <v>-8.3181524407294205E-4</v>
      </c>
    </row>
    <row r="300" spans="1:5" x14ac:dyDescent="0.2">
      <c r="A300" s="105" t="s">
        <v>835</v>
      </c>
      <c r="B300" s="106">
        <v>320</v>
      </c>
      <c r="C300" s="87">
        <f t="shared" si="8"/>
        <v>1.2578782206859707E-2</v>
      </c>
      <c r="D300" s="106">
        <v>76840.58</v>
      </c>
      <c r="E300" s="87">
        <f t="shared" si="9"/>
        <v>1.0434573785307322E-2</v>
      </c>
    </row>
    <row r="301" spans="1:5" x14ac:dyDescent="0.2">
      <c r="A301" s="105" t="s">
        <v>836</v>
      </c>
      <c r="B301" s="106">
        <v>313</v>
      </c>
      <c r="C301" s="87">
        <f t="shared" si="8"/>
        <v>-2.2117805253619061E-2</v>
      </c>
      <c r="D301" s="106">
        <v>77268.350000000006</v>
      </c>
      <c r="E301" s="87">
        <f t="shared" si="9"/>
        <v>5.5515419987894887E-3</v>
      </c>
    </row>
    <row r="302" spans="1:5" x14ac:dyDescent="0.2">
      <c r="A302" s="105" t="s">
        <v>837</v>
      </c>
      <c r="B302" s="106">
        <v>316</v>
      </c>
      <c r="C302" s="87">
        <f t="shared" si="8"/>
        <v>9.539023046759354E-3</v>
      </c>
      <c r="D302" s="106">
        <v>76876.5</v>
      </c>
      <c r="E302" s="87">
        <f t="shared" si="9"/>
        <v>-5.0841898912192818E-3</v>
      </c>
    </row>
    <row r="303" spans="1:5" x14ac:dyDescent="0.2">
      <c r="A303" s="105" t="s">
        <v>838</v>
      </c>
      <c r="B303" s="106">
        <v>316</v>
      </c>
      <c r="C303" s="87">
        <f t="shared" si="8"/>
        <v>0</v>
      </c>
      <c r="D303" s="106">
        <v>76593.759999999995</v>
      </c>
      <c r="E303" s="87">
        <f t="shared" si="9"/>
        <v>-3.6846268441106389E-3</v>
      </c>
    </row>
    <row r="304" spans="1:5" x14ac:dyDescent="0.2">
      <c r="A304" s="105" t="s">
        <v>839</v>
      </c>
      <c r="B304" s="106">
        <v>322</v>
      </c>
      <c r="C304" s="87">
        <f t="shared" si="8"/>
        <v>1.8809331957496234E-2</v>
      </c>
      <c r="D304" s="106">
        <v>76827.850000000006</v>
      </c>
      <c r="E304" s="87">
        <f t="shared" si="9"/>
        <v>3.0515933401851214E-3</v>
      </c>
    </row>
    <row r="305" spans="1:5" x14ac:dyDescent="0.2">
      <c r="A305" s="105" t="s">
        <v>840</v>
      </c>
      <c r="B305" s="106">
        <v>315</v>
      </c>
      <c r="C305" s="87">
        <f t="shared" si="8"/>
        <v>-2.1978906718775448E-2</v>
      </c>
      <c r="D305" s="106">
        <v>77053.98</v>
      </c>
      <c r="E305" s="87">
        <f t="shared" si="9"/>
        <v>2.9390105741757822E-3</v>
      </c>
    </row>
    <row r="306" spans="1:5" x14ac:dyDescent="0.2">
      <c r="A306" s="105" t="s">
        <v>841</v>
      </c>
      <c r="B306" s="106">
        <v>321</v>
      </c>
      <c r="C306" s="87">
        <f t="shared" si="8"/>
        <v>1.8868484304382704E-2</v>
      </c>
      <c r="D306" s="106">
        <v>77451.31</v>
      </c>
      <c r="E306" s="87">
        <f t="shared" si="9"/>
        <v>5.1432656562955259E-3</v>
      </c>
    </row>
    <row r="307" spans="1:5" x14ac:dyDescent="0.2">
      <c r="A307" s="105" t="s">
        <v>842</v>
      </c>
      <c r="B307" s="106">
        <v>331</v>
      </c>
      <c r="C307" s="87">
        <f t="shared" si="8"/>
        <v>3.0677252247047093E-2</v>
      </c>
      <c r="D307" s="106">
        <v>78459.91</v>
      </c>
      <c r="E307" s="87">
        <f t="shared" si="9"/>
        <v>1.2938312841443533E-2</v>
      </c>
    </row>
    <row r="308" spans="1:5" x14ac:dyDescent="0.2">
      <c r="A308" s="105" t="s">
        <v>843</v>
      </c>
      <c r="B308" s="106">
        <v>328</v>
      </c>
      <c r="C308" s="87">
        <f t="shared" si="8"/>
        <v>-9.1047669929187336E-3</v>
      </c>
      <c r="D308" s="106">
        <v>78937.48</v>
      </c>
      <c r="E308" s="87">
        <f t="shared" si="9"/>
        <v>6.068353046241981E-3</v>
      </c>
    </row>
    <row r="309" spans="1:5" x14ac:dyDescent="0.2">
      <c r="A309" s="105" t="s">
        <v>844</v>
      </c>
      <c r="B309" s="106">
        <v>341.5</v>
      </c>
      <c r="C309" s="87">
        <f t="shared" si="8"/>
        <v>4.033407062670058E-2</v>
      </c>
      <c r="D309" s="106">
        <v>79246.98</v>
      </c>
      <c r="E309" s="87">
        <f t="shared" si="9"/>
        <v>3.9131580300946212E-3</v>
      </c>
    </row>
    <row r="310" spans="1:5" x14ac:dyDescent="0.2">
      <c r="A310" s="105" t="s">
        <v>845</v>
      </c>
      <c r="B310" s="106">
        <v>327.5</v>
      </c>
      <c r="C310" s="87">
        <f t="shared" si="8"/>
        <v>-4.1859623935538437E-2</v>
      </c>
      <c r="D310" s="106">
        <v>78667.789999999994</v>
      </c>
      <c r="E310" s="87">
        <f t="shared" si="9"/>
        <v>-7.3355088592048645E-3</v>
      </c>
    </row>
    <row r="311" spans="1:5" x14ac:dyDescent="0.2">
      <c r="A311" s="105" t="s">
        <v>846</v>
      </c>
      <c r="B311" s="106">
        <v>322</v>
      </c>
      <c r="C311" s="87">
        <f t="shared" si="8"/>
        <v>-1.6936509530897759E-2</v>
      </c>
      <c r="D311" s="106">
        <v>78723.399999999994</v>
      </c>
      <c r="E311" s="87">
        <f t="shared" si="9"/>
        <v>7.0664695163813462E-4</v>
      </c>
    </row>
    <row r="312" spans="1:5" x14ac:dyDescent="0.2">
      <c r="A312" s="105" t="s">
        <v>847</v>
      </c>
      <c r="B312" s="106">
        <v>325</v>
      </c>
      <c r="C312" s="87">
        <f t="shared" si="8"/>
        <v>9.273636785328776E-3</v>
      </c>
      <c r="D312" s="106">
        <v>78555.5</v>
      </c>
      <c r="E312" s="87">
        <f t="shared" si="9"/>
        <v>-2.1350615216775282E-3</v>
      </c>
    </row>
    <row r="313" spans="1:5" x14ac:dyDescent="0.2">
      <c r="A313" s="105" t="s">
        <v>848</v>
      </c>
      <c r="B313" s="106">
        <v>329</v>
      </c>
      <c r="C313" s="87">
        <f t="shared" si="8"/>
        <v>1.2232568435634583E-2</v>
      </c>
      <c r="D313" s="106">
        <v>78742.720000000001</v>
      </c>
      <c r="E313" s="87">
        <f t="shared" si="9"/>
        <v>2.380447641522565E-3</v>
      </c>
    </row>
    <row r="314" spans="1:5" x14ac:dyDescent="0.2">
      <c r="A314" s="105" t="s">
        <v>849</v>
      </c>
      <c r="B314" s="106">
        <v>324</v>
      </c>
      <c r="C314" s="87">
        <f t="shared" si="8"/>
        <v>-1.5314234973042851E-2</v>
      </c>
      <c r="D314" s="106">
        <v>78144.179999999993</v>
      </c>
      <c r="E314" s="87">
        <f t="shared" si="9"/>
        <v>-7.6302470626572472E-3</v>
      </c>
    </row>
    <row r="315" spans="1:5" x14ac:dyDescent="0.2">
      <c r="A315" s="105" t="s">
        <v>850</v>
      </c>
      <c r="B315" s="106">
        <v>318</v>
      </c>
      <c r="C315" s="87">
        <f t="shared" si="8"/>
        <v>-1.8692133012152112E-2</v>
      </c>
      <c r="D315" s="106">
        <v>77647.100000000006</v>
      </c>
      <c r="E315" s="87">
        <f t="shared" si="9"/>
        <v>-6.3813800983005819E-3</v>
      </c>
    </row>
    <row r="316" spans="1:5" x14ac:dyDescent="0.2">
      <c r="A316" s="105" t="s">
        <v>851</v>
      </c>
      <c r="B316" s="106">
        <v>312</v>
      </c>
      <c r="C316" s="87">
        <f t="shared" si="8"/>
        <v>-1.9048194970694432E-2</v>
      </c>
      <c r="D316" s="106">
        <v>77407.14</v>
      </c>
      <c r="E316" s="87">
        <f t="shared" si="9"/>
        <v>-3.0951774239831309E-3</v>
      </c>
    </row>
    <row r="317" spans="1:5" x14ac:dyDescent="0.2">
      <c r="A317" s="105" t="s">
        <v>852</v>
      </c>
      <c r="B317" s="106">
        <v>309.5</v>
      </c>
      <c r="C317" s="87">
        <f t="shared" si="8"/>
        <v>-8.0450956848316935E-3</v>
      </c>
      <c r="D317" s="106">
        <v>76948.600000000006</v>
      </c>
      <c r="E317" s="87">
        <f t="shared" si="9"/>
        <v>-5.9413579159528496E-3</v>
      </c>
    </row>
    <row r="318" spans="1:5" x14ac:dyDescent="0.2">
      <c r="A318" s="105" t="s">
        <v>853</v>
      </c>
      <c r="B318" s="106">
        <v>306.5</v>
      </c>
      <c r="C318" s="87">
        <f t="shared" si="8"/>
        <v>-9.7403367483845926E-3</v>
      </c>
      <c r="D318" s="106">
        <v>76840.649999999994</v>
      </c>
      <c r="E318" s="87">
        <f t="shared" si="9"/>
        <v>-1.4038694867100077E-3</v>
      </c>
    </row>
    <row r="319" spans="1:5" x14ac:dyDescent="0.2">
      <c r="A319" s="105" t="s">
        <v>854</v>
      </c>
      <c r="B319" s="106">
        <v>305.5</v>
      </c>
      <c r="C319" s="87">
        <f t="shared" si="8"/>
        <v>-3.2679767646159874E-3</v>
      </c>
      <c r="D319" s="106">
        <v>77389.38</v>
      </c>
      <c r="E319" s="87">
        <f t="shared" si="9"/>
        <v>7.115764878854236E-3</v>
      </c>
    </row>
    <row r="320" spans="1:5" x14ac:dyDescent="0.2">
      <c r="A320" s="105" t="s">
        <v>855</v>
      </c>
      <c r="B320" s="106">
        <v>306</v>
      </c>
      <c r="C320" s="87">
        <f t="shared" si="8"/>
        <v>1.6353233407304657E-3</v>
      </c>
      <c r="D320" s="106">
        <v>77111.850000000006</v>
      </c>
      <c r="E320" s="87">
        <f t="shared" si="9"/>
        <v>-3.5925966220560213E-3</v>
      </c>
    </row>
    <row r="321" spans="1:5" x14ac:dyDescent="0.2">
      <c r="A321" s="105" t="s">
        <v>856</v>
      </c>
      <c r="B321" s="106">
        <v>306</v>
      </c>
      <c r="C321" s="87">
        <f t="shared" si="8"/>
        <v>0</v>
      </c>
      <c r="D321" s="106">
        <v>76516.02</v>
      </c>
      <c r="E321" s="87">
        <f t="shared" si="9"/>
        <v>-7.7568345836294128E-3</v>
      </c>
    </row>
    <row r="322" spans="1:5" x14ac:dyDescent="0.2">
      <c r="A322" s="105" t="s">
        <v>857</v>
      </c>
      <c r="B322" s="106">
        <v>308</v>
      </c>
      <c r="C322" s="87">
        <f t="shared" si="8"/>
        <v>6.514681021193347E-3</v>
      </c>
      <c r="D322" s="106">
        <v>77161.39</v>
      </c>
      <c r="E322" s="87">
        <f t="shared" si="9"/>
        <v>8.3990717169495355E-3</v>
      </c>
    </row>
    <row r="323" spans="1:5" x14ac:dyDescent="0.2">
      <c r="A323" s="105" t="s">
        <v>858</v>
      </c>
      <c r="B323" s="106">
        <v>312</v>
      </c>
      <c r="C323" s="87">
        <f t="shared" si="8"/>
        <v>1.2903404835908461E-2</v>
      </c>
      <c r="D323" s="106">
        <v>76867.53</v>
      </c>
      <c r="E323" s="87">
        <f t="shared" si="9"/>
        <v>-3.8156517169696258E-3</v>
      </c>
    </row>
    <row r="324" spans="1:5" x14ac:dyDescent="0.2">
      <c r="A324" s="105" t="s">
        <v>859</v>
      </c>
      <c r="B324" s="106">
        <v>299.5</v>
      </c>
      <c r="C324" s="87">
        <f t="shared" si="8"/>
        <v>-4.0888770253978635E-2</v>
      </c>
      <c r="D324" s="106">
        <v>76343.08</v>
      </c>
      <c r="E324" s="87">
        <f t="shared" si="9"/>
        <v>-6.846158349054221E-3</v>
      </c>
    </row>
    <row r="325" spans="1:5" x14ac:dyDescent="0.2">
      <c r="A325" s="105" t="s">
        <v>395</v>
      </c>
      <c r="B325" s="106">
        <v>292</v>
      </c>
      <c r="C325" s="87">
        <f t="shared" ref="C325:C388" si="10">LN(B325)-LN(B324)</f>
        <v>-2.536061528722211E-2</v>
      </c>
      <c r="D325" s="106">
        <v>76319.05</v>
      </c>
      <c r="E325" s="87">
        <f t="shared" ref="E325:E388" si="11">LN(D325)-LN(D324)</f>
        <v>-3.1481285107659573E-4</v>
      </c>
    </row>
    <row r="326" spans="1:5" x14ac:dyDescent="0.2">
      <c r="A326" s="105" t="s">
        <v>860</v>
      </c>
      <c r="B326" s="106">
        <v>292.5</v>
      </c>
      <c r="C326" s="87">
        <f t="shared" si="10"/>
        <v>1.7108644036296639E-3</v>
      </c>
      <c r="D326" s="106">
        <v>74264.070000000007</v>
      </c>
      <c r="E326" s="87">
        <f t="shared" si="11"/>
        <v>-2.7295324793056963E-2</v>
      </c>
    </row>
    <row r="327" spans="1:5" x14ac:dyDescent="0.2">
      <c r="A327" s="105" t="s">
        <v>861</v>
      </c>
      <c r="B327" s="106">
        <v>290</v>
      </c>
      <c r="C327" s="87">
        <f t="shared" si="10"/>
        <v>-8.5837436913918097E-3</v>
      </c>
      <c r="D327" s="106">
        <v>74512.08</v>
      </c>
      <c r="E327" s="87">
        <f t="shared" si="11"/>
        <v>3.3340052116059837E-3</v>
      </c>
    </row>
    <row r="328" spans="1:5" x14ac:dyDescent="0.2">
      <c r="A328" s="105" t="s">
        <v>862</v>
      </c>
      <c r="B328" s="106">
        <v>290</v>
      </c>
      <c r="C328" s="87">
        <f t="shared" si="10"/>
        <v>0</v>
      </c>
      <c r="D328" s="106">
        <v>75010.759999999995</v>
      </c>
      <c r="E328" s="87">
        <f t="shared" si="11"/>
        <v>6.6703100206080279E-3</v>
      </c>
    </row>
    <row r="329" spans="1:5" x14ac:dyDescent="0.2">
      <c r="A329" s="105" t="s">
        <v>863</v>
      </c>
      <c r="B329" s="106">
        <v>280</v>
      </c>
      <c r="C329" s="87">
        <f t="shared" si="10"/>
        <v>-3.5091319811270338E-2</v>
      </c>
      <c r="D329" s="106">
        <v>73969.84</v>
      </c>
      <c r="E329" s="87">
        <f t="shared" si="11"/>
        <v>-1.3974127354250854E-2</v>
      </c>
    </row>
    <row r="330" spans="1:5" x14ac:dyDescent="0.2">
      <c r="A330" s="105" t="s">
        <v>864</v>
      </c>
      <c r="B330" s="106">
        <v>288</v>
      </c>
      <c r="C330" s="87">
        <f t="shared" si="10"/>
        <v>2.8170876966696845E-2</v>
      </c>
      <c r="D330" s="106">
        <v>74469.990000000005</v>
      </c>
      <c r="E330" s="87">
        <f t="shared" si="11"/>
        <v>6.7387828819160944E-3</v>
      </c>
    </row>
    <row r="331" spans="1:5" x14ac:dyDescent="0.2">
      <c r="A331" s="105" t="s">
        <v>865</v>
      </c>
      <c r="B331" s="106">
        <v>290</v>
      </c>
      <c r="C331" s="87">
        <f t="shared" si="10"/>
        <v>6.9204428445734933E-3</v>
      </c>
      <c r="D331" s="106">
        <v>74444.820000000007</v>
      </c>
      <c r="E331" s="87">
        <f t="shared" si="11"/>
        <v>-3.3804562809613969E-4</v>
      </c>
    </row>
    <row r="332" spans="1:5" x14ac:dyDescent="0.2">
      <c r="A332" s="105" t="s">
        <v>866</v>
      </c>
      <c r="B332" s="106">
        <v>286.5</v>
      </c>
      <c r="C332" s="87">
        <f t="shared" si="10"/>
        <v>-1.2142386825725104E-2</v>
      </c>
      <c r="D332" s="106">
        <v>74733.66</v>
      </c>
      <c r="E332" s="87">
        <f t="shared" si="11"/>
        <v>3.872413245444406E-3</v>
      </c>
    </row>
    <row r="333" spans="1:5" x14ac:dyDescent="0.2">
      <c r="A333" s="105" t="s">
        <v>867</v>
      </c>
      <c r="B333" s="106">
        <v>290</v>
      </c>
      <c r="C333" s="87">
        <f t="shared" si="10"/>
        <v>1.2142386825725104E-2</v>
      </c>
      <c r="D333" s="106">
        <v>74711.48</v>
      </c>
      <c r="E333" s="87">
        <f t="shared" si="11"/>
        <v>-2.9683133440094878E-4</v>
      </c>
    </row>
    <row r="334" spans="1:5" x14ac:dyDescent="0.2">
      <c r="A334" s="105" t="s">
        <v>868</v>
      </c>
      <c r="B334" s="106">
        <v>290.5</v>
      </c>
      <c r="C334" s="87">
        <f t="shared" si="10"/>
        <v>1.7226533114467202E-3</v>
      </c>
      <c r="D334" s="106">
        <v>74783.929999999993</v>
      </c>
      <c r="E334" s="87">
        <f t="shared" si="11"/>
        <v>9.6926060368041078E-4</v>
      </c>
    </row>
    <row r="335" spans="1:5" x14ac:dyDescent="0.2">
      <c r="A335" s="105" t="s">
        <v>869</v>
      </c>
      <c r="B335" s="106">
        <v>288.5</v>
      </c>
      <c r="C335" s="87">
        <f t="shared" si="10"/>
        <v>-6.9084903438119127E-3</v>
      </c>
      <c r="D335" s="106">
        <v>74091.850000000006</v>
      </c>
      <c r="E335" s="87">
        <f t="shared" si="11"/>
        <v>-9.2974825785532289E-3</v>
      </c>
    </row>
    <row r="336" spans="1:5" x14ac:dyDescent="0.2">
      <c r="A336" s="105" t="s">
        <v>870</v>
      </c>
      <c r="B336" s="106">
        <v>291.5</v>
      </c>
      <c r="C336" s="87">
        <f t="shared" si="10"/>
        <v>1.0344919842392386E-2</v>
      </c>
      <c r="D336" s="106">
        <v>73738.009999999995</v>
      </c>
      <c r="E336" s="87">
        <f t="shared" si="11"/>
        <v>-4.7871340165706044E-3</v>
      </c>
    </row>
    <row r="337" spans="1:5" x14ac:dyDescent="0.2">
      <c r="A337" s="105" t="s">
        <v>871</v>
      </c>
      <c r="B337" s="106">
        <v>293</v>
      </c>
      <c r="C337" s="87">
        <f t="shared" si="10"/>
        <v>5.132603226520871E-3</v>
      </c>
      <c r="D337" s="106">
        <v>73688.490000000005</v>
      </c>
      <c r="E337" s="87">
        <f t="shared" si="11"/>
        <v>-6.7179240994441614E-4</v>
      </c>
    </row>
    <row r="338" spans="1:5" x14ac:dyDescent="0.2">
      <c r="A338" s="105" t="s">
        <v>872</v>
      </c>
      <c r="B338" s="106">
        <v>297.5</v>
      </c>
      <c r="C338" s="87">
        <f t="shared" si="10"/>
        <v>1.5241615968617062E-2</v>
      </c>
      <c r="D338" s="106">
        <v>74171.3</v>
      </c>
      <c r="E338" s="87">
        <f t="shared" si="11"/>
        <v>6.53066957516657E-3</v>
      </c>
    </row>
    <row r="339" spans="1:5" x14ac:dyDescent="0.2">
      <c r="A339" s="105" t="s">
        <v>873</v>
      </c>
      <c r="B339" s="106">
        <v>287.5</v>
      </c>
      <c r="C339" s="87">
        <f t="shared" si="10"/>
        <v>-3.419136474827944E-2</v>
      </c>
      <c r="D339" s="106">
        <v>71199.05</v>
      </c>
      <c r="E339" s="87">
        <f t="shared" si="11"/>
        <v>-4.0897807264723696E-2</v>
      </c>
    </row>
    <row r="340" spans="1:5" x14ac:dyDescent="0.2">
      <c r="A340" s="105" t="s">
        <v>874</v>
      </c>
      <c r="B340" s="106">
        <v>284</v>
      </c>
      <c r="C340" s="87">
        <f t="shared" si="10"/>
        <v>-1.2248622076199034E-2</v>
      </c>
      <c r="D340" s="106">
        <v>71545.8</v>
      </c>
      <c r="E340" s="87">
        <f t="shared" si="11"/>
        <v>4.8583284376046976E-3</v>
      </c>
    </row>
    <row r="341" spans="1:5" x14ac:dyDescent="0.2">
      <c r="A341" s="105" t="s">
        <v>875</v>
      </c>
      <c r="B341" s="106">
        <v>277.5</v>
      </c>
      <c r="C341" s="87">
        <f t="shared" si="10"/>
        <v>-2.3153304974717237E-2</v>
      </c>
      <c r="D341" s="106">
        <v>72411.600000000006</v>
      </c>
      <c r="E341" s="87">
        <f t="shared" si="11"/>
        <v>1.2028703482242165E-2</v>
      </c>
    </row>
    <row r="342" spans="1:5" x14ac:dyDescent="0.2">
      <c r="A342" s="105" t="s">
        <v>876</v>
      </c>
      <c r="B342" s="106">
        <v>279</v>
      </c>
      <c r="C342" s="87">
        <f t="shared" si="10"/>
        <v>5.3908486348763773E-3</v>
      </c>
      <c r="D342" s="106">
        <v>71542.19</v>
      </c>
      <c r="E342" s="87">
        <f t="shared" si="11"/>
        <v>-1.2079161944908989E-2</v>
      </c>
    </row>
    <row r="343" spans="1:5" x14ac:dyDescent="0.2">
      <c r="A343" s="105" t="s">
        <v>877</v>
      </c>
      <c r="B343" s="106">
        <v>281</v>
      </c>
      <c r="C343" s="87">
        <f t="shared" si="10"/>
        <v>7.142887512380014E-3</v>
      </c>
      <c r="D343" s="106">
        <v>72266.7</v>
      </c>
      <c r="E343" s="87">
        <f t="shared" si="11"/>
        <v>1.0076096544663571E-2</v>
      </c>
    </row>
    <row r="344" spans="1:5" x14ac:dyDescent="0.2">
      <c r="A344" s="105" t="s">
        <v>878</v>
      </c>
      <c r="B344" s="106">
        <v>281</v>
      </c>
      <c r="C344" s="87">
        <f t="shared" si="10"/>
        <v>0</v>
      </c>
      <c r="D344" s="106">
        <v>72823.520000000004</v>
      </c>
      <c r="E344" s="87">
        <f t="shared" si="11"/>
        <v>7.6755377957180571E-3</v>
      </c>
    </row>
    <row r="345" spans="1:5" x14ac:dyDescent="0.2">
      <c r="A345" s="105" t="s">
        <v>879</v>
      </c>
      <c r="B345" s="106">
        <v>282</v>
      </c>
      <c r="C345" s="87">
        <f t="shared" si="10"/>
        <v>3.552401604368427E-3</v>
      </c>
      <c r="D345" s="106">
        <v>72473.240000000005</v>
      </c>
      <c r="E345" s="87">
        <f t="shared" si="11"/>
        <v>-4.8215896706960137E-3</v>
      </c>
    </row>
    <row r="346" spans="1:5" x14ac:dyDescent="0.2">
      <c r="A346" s="105" t="s">
        <v>880</v>
      </c>
      <c r="B346" s="106">
        <v>279.5</v>
      </c>
      <c r="C346" s="87">
        <f t="shared" si="10"/>
        <v>-8.9047783429601068E-3</v>
      </c>
      <c r="D346" s="106">
        <v>71835.070000000007</v>
      </c>
      <c r="E346" s="87">
        <f t="shared" si="11"/>
        <v>-8.8445933593526149E-3</v>
      </c>
    </row>
    <row r="347" spans="1:5" x14ac:dyDescent="0.2">
      <c r="A347" s="105" t="s">
        <v>881</v>
      </c>
      <c r="B347" s="106">
        <v>280</v>
      </c>
      <c r="C347" s="87">
        <f t="shared" si="10"/>
        <v>1.7873105740955353E-3</v>
      </c>
      <c r="D347" s="106">
        <v>71582.259999999995</v>
      </c>
      <c r="E347" s="87">
        <f t="shared" si="11"/>
        <v>-3.5255190129941383E-3</v>
      </c>
    </row>
    <row r="348" spans="1:5" x14ac:dyDescent="0.2">
      <c r="A348" s="105" t="s">
        <v>882</v>
      </c>
      <c r="B348" s="106">
        <v>280</v>
      </c>
      <c r="C348" s="87">
        <f t="shared" si="10"/>
        <v>0</v>
      </c>
      <c r="D348" s="106">
        <v>71023.240000000005</v>
      </c>
      <c r="E348" s="87">
        <f t="shared" si="11"/>
        <v>-7.8401304783799475E-3</v>
      </c>
    </row>
    <row r="349" spans="1:5" x14ac:dyDescent="0.2">
      <c r="A349" s="105" t="s">
        <v>883</v>
      </c>
      <c r="B349" s="106">
        <v>279.5</v>
      </c>
      <c r="C349" s="87">
        <f t="shared" si="10"/>
        <v>-1.7873105740955353E-3</v>
      </c>
      <c r="D349" s="106">
        <v>70290.31</v>
      </c>
      <c r="E349" s="87">
        <f t="shared" si="11"/>
        <v>-1.0373195947909863E-2</v>
      </c>
    </row>
    <row r="350" spans="1:5" x14ac:dyDescent="0.2">
      <c r="A350" s="105" t="s">
        <v>884</v>
      </c>
      <c r="B350" s="106">
        <v>279</v>
      </c>
      <c r="C350" s="87">
        <f t="shared" si="10"/>
        <v>-1.7905107737883341E-3</v>
      </c>
      <c r="D350" s="106">
        <v>70779.06</v>
      </c>
      <c r="E350" s="87">
        <f t="shared" si="11"/>
        <v>6.9292427631193476E-3</v>
      </c>
    </row>
    <row r="351" spans="1:5" x14ac:dyDescent="0.2">
      <c r="A351" s="105" t="s">
        <v>885</v>
      </c>
      <c r="B351" s="106">
        <v>279.5</v>
      </c>
      <c r="C351" s="87">
        <f t="shared" si="10"/>
        <v>1.7905107737883341E-3</v>
      </c>
      <c r="D351" s="106">
        <v>70221.81</v>
      </c>
      <c r="E351" s="87">
        <f t="shared" si="11"/>
        <v>-7.9042477011483925E-3</v>
      </c>
    </row>
    <row r="352" spans="1:5" x14ac:dyDescent="0.2">
      <c r="A352" s="105" t="s">
        <v>886</v>
      </c>
      <c r="B352" s="106">
        <v>276.5</v>
      </c>
      <c r="C352" s="87">
        <f t="shared" si="10"/>
        <v>-1.0791471632764171E-2</v>
      </c>
      <c r="D352" s="106">
        <v>69219.490000000005</v>
      </c>
      <c r="E352" s="87">
        <f t="shared" si="11"/>
        <v>-1.4376476172959229E-2</v>
      </c>
    </row>
    <row r="353" spans="1:5" x14ac:dyDescent="0.2">
      <c r="A353" s="105" t="s">
        <v>887</v>
      </c>
      <c r="B353" s="106">
        <v>272.5</v>
      </c>
      <c r="C353" s="87">
        <f t="shared" si="10"/>
        <v>-1.4572206859090997E-2</v>
      </c>
      <c r="D353" s="106">
        <v>68128.89</v>
      </c>
      <c r="E353" s="87">
        <f t="shared" si="11"/>
        <v>-1.5881118096640279E-2</v>
      </c>
    </row>
    <row r="354" spans="1:5" x14ac:dyDescent="0.2">
      <c r="A354" s="105" t="s">
        <v>888</v>
      </c>
      <c r="B354" s="106">
        <v>271.5</v>
      </c>
      <c r="C354" s="87">
        <f t="shared" si="10"/>
        <v>-3.6764747293087652E-3</v>
      </c>
      <c r="D354" s="106">
        <v>68361.11</v>
      </c>
      <c r="E354" s="87">
        <f t="shared" si="11"/>
        <v>3.4027434107457566E-3</v>
      </c>
    </row>
    <row r="355" spans="1:5" x14ac:dyDescent="0.2">
      <c r="A355" s="105" t="s">
        <v>889</v>
      </c>
      <c r="B355" s="106">
        <v>275</v>
      </c>
      <c r="C355" s="87">
        <f t="shared" si="10"/>
        <v>1.2808958292581885E-2</v>
      </c>
      <c r="D355" s="106">
        <v>69156.94</v>
      </c>
      <c r="E355" s="87">
        <f t="shared" si="11"/>
        <v>1.1574318926394156E-2</v>
      </c>
    </row>
    <row r="356" spans="1:5" x14ac:dyDescent="0.2">
      <c r="A356" s="105" t="s">
        <v>890</v>
      </c>
      <c r="B356" s="106">
        <v>280.5</v>
      </c>
      <c r="C356" s="87">
        <f t="shared" si="10"/>
        <v>1.9802627296179764E-2</v>
      </c>
      <c r="D356" s="106">
        <v>70474.84</v>
      </c>
      <c r="E356" s="87">
        <f t="shared" si="11"/>
        <v>1.8877352081194232E-2</v>
      </c>
    </row>
    <row r="357" spans="1:5" x14ac:dyDescent="0.2">
      <c r="A357" s="105" t="s">
        <v>891</v>
      </c>
      <c r="B357" s="106">
        <v>278.5</v>
      </c>
      <c r="C357" s="87">
        <f t="shared" si="10"/>
        <v>-7.1556655954125858E-3</v>
      </c>
      <c r="D357" s="106">
        <v>71222.64</v>
      </c>
      <c r="E357" s="87">
        <f t="shared" si="11"/>
        <v>1.0554978712901786E-2</v>
      </c>
    </row>
    <row r="358" spans="1:5" x14ac:dyDescent="0.2">
      <c r="A358" s="105" t="s">
        <v>892</v>
      </c>
      <c r="B358" s="106">
        <v>277</v>
      </c>
      <c r="C358" s="87">
        <f t="shared" si="10"/>
        <v>-5.4005531800003226E-3</v>
      </c>
      <c r="D358" s="106">
        <v>69960.649999999994</v>
      </c>
      <c r="E358" s="87">
        <f t="shared" si="11"/>
        <v>-1.7877804271199338E-2</v>
      </c>
    </row>
    <row r="359" spans="1:5" x14ac:dyDescent="0.2">
      <c r="A359" s="105" t="s">
        <v>893</v>
      </c>
      <c r="B359" s="106">
        <v>272.5</v>
      </c>
      <c r="C359" s="87">
        <f t="shared" si="10"/>
        <v>-1.6378892084039975E-2</v>
      </c>
      <c r="D359" s="106">
        <v>67061.899999999994</v>
      </c>
      <c r="E359" s="87">
        <f t="shared" si="11"/>
        <v>-4.231686765769993E-2</v>
      </c>
    </row>
    <row r="360" spans="1:5" x14ac:dyDescent="0.2">
      <c r="A360" s="105" t="s">
        <v>894</v>
      </c>
      <c r="B360" s="106">
        <v>270.5</v>
      </c>
      <c r="C360" s="87">
        <f t="shared" si="10"/>
        <v>-7.3665158167619538E-3</v>
      </c>
      <c r="D360" s="106">
        <v>66682.649999999994</v>
      </c>
      <c r="E360" s="87">
        <f t="shared" si="11"/>
        <v>-5.6712743284936806E-3</v>
      </c>
    </row>
    <row r="361" spans="1:5" x14ac:dyDescent="0.2">
      <c r="A361" s="105" t="s">
        <v>895</v>
      </c>
      <c r="B361" s="106">
        <v>271</v>
      </c>
      <c r="C361" s="87">
        <f t="shared" si="10"/>
        <v>1.8467225931644293E-3</v>
      </c>
      <c r="D361" s="106">
        <v>67053.03</v>
      </c>
      <c r="E361" s="87">
        <f t="shared" si="11"/>
        <v>5.5389997187553774E-3</v>
      </c>
    </row>
    <row r="362" spans="1:5" x14ac:dyDescent="0.2">
      <c r="A362" s="105" t="s">
        <v>896</v>
      </c>
      <c r="B362" s="106">
        <v>270</v>
      </c>
      <c r="C362" s="87">
        <f t="shared" si="10"/>
        <v>-3.6968618813260079E-3</v>
      </c>
      <c r="D362" s="106">
        <v>66571.490000000005</v>
      </c>
      <c r="E362" s="87">
        <f t="shared" si="11"/>
        <v>-7.2073910465544344E-3</v>
      </c>
    </row>
    <row r="363" spans="1:5" x14ac:dyDescent="0.2">
      <c r="A363" s="105" t="s">
        <v>897</v>
      </c>
      <c r="B363" s="106">
        <v>267</v>
      </c>
      <c r="C363" s="87">
        <f t="shared" si="10"/>
        <v>-1.117330059812538E-2</v>
      </c>
      <c r="D363" s="106">
        <v>65008.480000000003</v>
      </c>
      <c r="E363" s="87">
        <f t="shared" si="11"/>
        <v>-2.3758684891955539E-2</v>
      </c>
    </row>
    <row r="364" spans="1:5" x14ac:dyDescent="0.2">
      <c r="A364" s="105" t="s">
        <v>898</v>
      </c>
      <c r="B364" s="106">
        <v>269</v>
      </c>
      <c r="C364" s="87">
        <f t="shared" si="10"/>
        <v>7.4627212015894173E-3</v>
      </c>
      <c r="D364" s="106">
        <v>63903.35</v>
      </c>
      <c r="E364" s="87">
        <f t="shared" si="11"/>
        <v>-1.7145937250319321E-2</v>
      </c>
    </row>
    <row r="365" spans="1:5" x14ac:dyDescent="0.2">
      <c r="A365" s="105" t="s">
        <v>899</v>
      </c>
      <c r="B365" s="106">
        <v>264</v>
      </c>
      <c r="C365" s="87">
        <f t="shared" si="10"/>
        <v>-1.8762276455523086E-2</v>
      </c>
      <c r="D365" s="106">
        <v>63799.77</v>
      </c>
      <c r="E365" s="87">
        <f t="shared" si="11"/>
        <v>-1.6222003458423728E-3</v>
      </c>
    </row>
    <row r="366" spans="1:5" x14ac:dyDescent="0.2">
      <c r="A366" s="105" t="s">
        <v>900</v>
      </c>
      <c r="B366" s="106">
        <v>266</v>
      </c>
      <c r="C366" s="87">
        <f t="shared" si="10"/>
        <v>7.5472056353831363E-3</v>
      </c>
      <c r="D366" s="106">
        <v>64282.18</v>
      </c>
      <c r="E366" s="87">
        <f t="shared" si="11"/>
        <v>7.5328690913689655E-3</v>
      </c>
    </row>
    <row r="367" spans="1:5" x14ac:dyDescent="0.2">
      <c r="A367" s="105" t="s">
        <v>901</v>
      </c>
      <c r="B367" s="106">
        <v>263.5</v>
      </c>
      <c r="C367" s="87">
        <f t="shared" si="10"/>
        <v>-9.4429408002820736E-3</v>
      </c>
      <c r="D367" s="106">
        <v>63776.83</v>
      </c>
      <c r="E367" s="87">
        <f t="shared" si="11"/>
        <v>-7.8924961741915212E-3</v>
      </c>
    </row>
    <row r="368" spans="1:5" x14ac:dyDescent="0.2">
      <c r="A368" s="105" t="s">
        <v>902</v>
      </c>
      <c r="B368" s="106">
        <v>265</v>
      </c>
      <c r="C368" s="87">
        <f t="shared" si="10"/>
        <v>5.6764580048049851E-3</v>
      </c>
      <c r="D368" s="106">
        <v>64190.54</v>
      </c>
      <c r="E368" s="87">
        <f t="shared" si="11"/>
        <v>6.4658895678686434E-3</v>
      </c>
    </row>
    <row r="369" spans="1:5" x14ac:dyDescent="0.2">
      <c r="A369" s="105" t="s">
        <v>903</v>
      </c>
      <c r="B369" s="106">
        <v>267</v>
      </c>
      <c r="C369" s="87">
        <f t="shared" si="10"/>
        <v>7.5188324140276208E-3</v>
      </c>
      <c r="D369" s="106">
        <v>65397.43</v>
      </c>
      <c r="E369" s="87">
        <f t="shared" si="11"/>
        <v>1.8627113241317161E-2</v>
      </c>
    </row>
    <row r="370" spans="1:5" x14ac:dyDescent="0.2">
      <c r="A370" s="105" t="s">
        <v>904</v>
      </c>
      <c r="B370" s="106">
        <v>262</v>
      </c>
      <c r="C370" s="87">
        <f t="shared" si="10"/>
        <v>-1.890415463915307E-2</v>
      </c>
      <c r="D370" s="106">
        <v>64417.96</v>
      </c>
      <c r="E370" s="87">
        <f t="shared" si="11"/>
        <v>-1.5090484837401164E-2</v>
      </c>
    </row>
    <row r="371" spans="1:5" x14ac:dyDescent="0.2">
      <c r="A371" s="105" t="s">
        <v>905</v>
      </c>
      <c r="B371" s="106">
        <v>269</v>
      </c>
      <c r="C371" s="87">
        <f t="shared" si="10"/>
        <v>2.6366875840742487E-2</v>
      </c>
      <c r="D371" s="106">
        <v>64884.38</v>
      </c>
      <c r="E371" s="87">
        <f t="shared" si="11"/>
        <v>7.2144405588190352E-3</v>
      </c>
    </row>
    <row r="372" spans="1:5" x14ac:dyDescent="0.2">
      <c r="A372" s="105" t="s">
        <v>906</v>
      </c>
      <c r="B372" s="106">
        <v>270</v>
      </c>
      <c r="C372" s="87">
        <f t="shared" si="10"/>
        <v>3.7105793965359624E-3</v>
      </c>
      <c r="D372" s="106">
        <v>65760.08</v>
      </c>
      <c r="E372" s="87">
        <f t="shared" si="11"/>
        <v>1.3406050515843759E-2</v>
      </c>
    </row>
    <row r="373" spans="1:5" x14ac:dyDescent="0.2">
      <c r="A373" s="105" t="s">
        <v>907</v>
      </c>
      <c r="B373" s="106">
        <v>275.5</v>
      </c>
      <c r="C373" s="87">
        <f t="shared" si="10"/>
        <v>2.0165669594594426E-2</v>
      </c>
      <c r="D373" s="106">
        <v>65788.09</v>
      </c>
      <c r="E373" s="87">
        <f t="shared" si="11"/>
        <v>4.2585161653363457E-4</v>
      </c>
    </row>
    <row r="374" spans="1:5" x14ac:dyDescent="0.2">
      <c r="A374" s="105" t="s">
        <v>908</v>
      </c>
      <c r="B374" s="106">
        <v>270</v>
      </c>
      <c r="C374" s="87">
        <f t="shared" si="10"/>
        <v>-2.0165669594594426E-2</v>
      </c>
      <c r="D374" s="106">
        <v>66519.31</v>
      </c>
      <c r="E374" s="87">
        <f t="shared" si="11"/>
        <v>1.1053462541994463E-2</v>
      </c>
    </row>
    <row r="375" spans="1:5" x14ac:dyDescent="0.2">
      <c r="A375" s="105" t="s">
        <v>909</v>
      </c>
      <c r="B375" s="106">
        <v>270</v>
      </c>
      <c r="C375" s="87">
        <f t="shared" si="10"/>
        <v>0</v>
      </c>
      <c r="D375" s="106">
        <v>66528.72</v>
      </c>
      <c r="E375" s="87">
        <f t="shared" si="11"/>
        <v>1.4145267713772114E-4</v>
      </c>
    </row>
    <row r="376" spans="1:5" x14ac:dyDescent="0.2">
      <c r="A376" s="105" t="s">
        <v>910</v>
      </c>
      <c r="B376" s="106">
        <v>271.5</v>
      </c>
      <c r="C376" s="87">
        <f t="shared" si="10"/>
        <v>5.5401803756147672E-3</v>
      </c>
      <c r="D376" s="106">
        <v>67293.009999999995</v>
      </c>
      <c r="E376" s="87">
        <f t="shared" si="11"/>
        <v>1.1422633829990758E-2</v>
      </c>
    </row>
    <row r="377" spans="1:5" x14ac:dyDescent="0.2">
      <c r="A377" s="105" t="s">
        <v>911</v>
      </c>
      <c r="B377" s="106">
        <v>275</v>
      </c>
      <c r="C377" s="87">
        <f t="shared" si="10"/>
        <v>1.2808958292581885E-2</v>
      </c>
      <c r="D377" s="106">
        <v>66136.36</v>
      </c>
      <c r="E377" s="87">
        <f t="shared" si="11"/>
        <v>-1.7337696693395799E-2</v>
      </c>
    </row>
    <row r="378" spans="1:5" x14ac:dyDescent="0.2">
      <c r="A378" s="105" t="s">
        <v>912</v>
      </c>
      <c r="B378" s="106">
        <v>272</v>
      </c>
      <c r="C378" s="87">
        <f t="shared" si="10"/>
        <v>-1.0969031370573923E-2</v>
      </c>
      <c r="D378" s="106">
        <v>66439.42</v>
      </c>
      <c r="E378" s="87">
        <f t="shared" si="11"/>
        <v>4.5718837616188779E-3</v>
      </c>
    </row>
    <row r="379" spans="1:5" x14ac:dyDescent="0.2">
      <c r="A379" s="105" t="s">
        <v>913</v>
      </c>
      <c r="B379" s="106">
        <v>272</v>
      </c>
      <c r="C379" s="87">
        <f t="shared" si="10"/>
        <v>0</v>
      </c>
      <c r="D379" s="106">
        <v>67368.11</v>
      </c>
      <c r="E379" s="87">
        <f t="shared" si="11"/>
        <v>1.3881205522986662E-2</v>
      </c>
    </row>
    <row r="380" spans="1:5" x14ac:dyDescent="0.2">
      <c r="A380" s="105" t="s">
        <v>914</v>
      </c>
      <c r="B380" s="106">
        <v>274</v>
      </c>
      <c r="C380" s="87">
        <f t="shared" si="10"/>
        <v>7.3260400920727164E-3</v>
      </c>
      <c r="D380" s="106">
        <v>67199.88</v>
      </c>
      <c r="E380" s="87">
        <f t="shared" si="11"/>
        <v>-2.5002987358391238E-3</v>
      </c>
    </row>
    <row r="381" spans="1:5" x14ac:dyDescent="0.2">
      <c r="A381" s="105" t="s">
        <v>915</v>
      </c>
      <c r="B381" s="106">
        <v>268</v>
      </c>
      <c r="C381" s="87">
        <f t="shared" si="10"/>
        <v>-2.2141125877213952E-2</v>
      </c>
      <c r="D381" s="106">
        <v>66663.75</v>
      </c>
      <c r="E381" s="87">
        <f t="shared" si="11"/>
        <v>-8.0101348903554026E-3</v>
      </c>
    </row>
    <row r="382" spans="1:5" x14ac:dyDescent="0.2">
      <c r="A382" s="105" t="s">
        <v>916</v>
      </c>
      <c r="B382" s="106">
        <v>271.5</v>
      </c>
      <c r="C382" s="87">
        <f t="shared" si="10"/>
        <v>1.2975158863133274E-2</v>
      </c>
      <c r="D382" s="106">
        <v>66559.850000000006</v>
      </c>
      <c r="E382" s="87">
        <f t="shared" si="11"/>
        <v>-1.5597840182230982E-3</v>
      </c>
    </row>
    <row r="383" spans="1:5" x14ac:dyDescent="0.2">
      <c r="A383" s="105" t="s">
        <v>917</v>
      </c>
      <c r="B383" s="106">
        <v>272</v>
      </c>
      <c r="C383" s="87">
        <f t="shared" si="10"/>
        <v>1.8399269220079617E-3</v>
      </c>
      <c r="D383" s="106">
        <v>66466.05</v>
      </c>
      <c r="E383" s="87">
        <f t="shared" si="11"/>
        <v>-1.4102519215573039E-3</v>
      </c>
    </row>
    <row r="384" spans="1:5" x14ac:dyDescent="0.2">
      <c r="A384" s="105" t="s">
        <v>918</v>
      </c>
      <c r="B384" s="106">
        <v>271</v>
      </c>
      <c r="C384" s="87">
        <f t="shared" si="10"/>
        <v>-3.683245416296721E-3</v>
      </c>
      <c r="D384" s="106">
        <v>66542.34</v>
      </c>
      <c r="E384" s="87">
        <f t="shared" si="11"/>
        <v>1.1471458058576189E-3</v>
      </c>
    </row>
    <row r="385" spans="1:5" x14ac:dyDescent="0.2">
      <c r="A385" s="105" t="s">
        <v>919</v>
      </c>
      <c r="B385" s="106">
        <v>270.5</v>
      </c>
      <c r="C385" s="87">
        <f t="shared" si="10"/>
        <v>-1.8467225931644293E-3</v>
      </c>
      <c r="D385" s="106">
        <v>65932.92</v>
      </c>
      <c r="E385" s="87">
        <f t="shared" si="11"/>
        <v>-9.2005752466377544E-3</v>
      </c>
    </row>
    <row r="386" spans="1:5" x14ac:dyDescent="0.2">
      <c r="A386" s="105" t="s">
        <v>920</v>
      </c>
      <c r="B386" s="106">
        <v>277</v>
      </c>
      <c r="C386" s="87">
        <f t="shared" si="10"/>
        <v>2.3745407900801929E-2</v>
      </c>
      <c r="D386" s="106">
        <v>66747.11</v>
      </c>
      <c r="E386" s="87">
        <f t="shared" si="11"/>
        <v>1.2273138920608773E-2</v>
      </c>
    </row>
    <row r="387" spans="1:5" x14ac:dyDescent="0.2">
      <c r="A387" s="105" t="s">
        <v>921</v>
      </c>
      <c r="B387" s="106">
        <v>279.5</v>
      </c>
      <c r="C387" s="87">
        <f t="shared" si="10"/>
        <v>8.9847864078151929E-3</v>
      </c>
      <c r="D387" s="106">
        <v>67828.600000000006</v>
      </c>
      <c r="E387" s="87">
        <f t="shared" si="11"/>
        <v>1.6072934447185716E-2</v>
      </c>
    </row>
    <row r="388" spans="1:5" x14ac:dyDescent="0.2">
      <c r="A388" s="105" t="s">
        <v>922</v>
      </c>
      <c r="B388" s="106">
        <v>284</v>
      </c>
      <c r="C388" s="87">
        <f t="shared" si="10"/>
        <v>1.5971945566052526E-2</v>
      </c>
      <c r="D388" s="106">
        <v>68356.52</v>
      </c>
      <c r="E388" s="87">
        <f t="shared" si="11"/>
        <v>7.7530150783484686E-3</v>
      </c>
    </row>
    <row r="389" spans="1:5" x14ac:dyDescent="0.2">
      <c r="A389" s="105" t="s">
        <v>398</v>
      </c>
      <c r="B389" s="106">
        <v>282.5</v>
      </c>
      <c r="C389" s="87">
        <f t="shared" ref="C389:C452" si="12">LN(B389)-LN(B388)</f>
        <v>-5.2956875747103282E-3</v>
      </c>
      <c r="D389" s="106">
        <v>69017.61</v>
      </c>
      <c r="E389" s="87">
        <f t="shared" ref="E389:E452" si="13">LN(D389)-LN(D388)</f>
        <v>9.6247394376955953E-3</v>
      </c>
    </row>
    <row r="390" spans="1:5" x14ac:dyDescent="0.2">
      <c r="A390" s="105" t="s">
        <v>923</v>
      </c>
      <c r="B390" s="106">
        <v>284.5</v>
      </c>
      <c r="C390" s="87">
        <f t="shared" si="12"/>
        <v>7.0547029798895267E-3</v>
      </c>
      <c r="D390" s="106">
        <v>68431.460000000006</v>
      </c>
      <c r="E390" s="87">
        <f t="shared" si="13"/>
        <v>-8.529029017852352E-3</v>
      </c>
    </row>
    <row r="391" spans="1:5" x14ac:dyDescent="0.2">
      <c r="A391" s="105" t="s">
        <v>924</v>
      </c>
      <c r="B391" s="106">
        <v>287</v>
      </c>
      <c r="C391" s="87">
        <f t="shared" si="12"/>
        <v>8.748962193235954E-3</v>
      </c>
      <c r="D391" s="106">
        <v>68979.759999999995</v>
      </c>
      <c r="E391" s="87">
        <f t="shared" si="13"/>
        <v>7.9804678249946193E-3</v>
      </c>
    </row>
    <row r="392" spans="1:5" x14ac:dyDescent="0.2">
      <c r="A392" s="105" t="s">
        <v>925</v>
      </c>
      <c r="B392" s="106">
        <v>285</v>
      </c>
      <c r="C392" s="87">
        <f t="shared" si="12"/>
        <v>-6.9930354909706338E-3</v>
      </c>
      <c r="D392" s="106">
        <v>68794.91</v>
      </c>
      <c r="E392" s="87">
        <f t="shared" si="13"/>
        <v>-2.6833685889737779E-3</v>
      </c>
    </row>
    <row r="393" spans="1:5" x14ac:dyDescent="0.2">
      <c r="A393" s="105" t="s">
        <v>926</v>
      </c>
      <c r="B393" s="106">
        <v>287</v>
      </c>
      <c r="C393" s="87">
        <f t="shared" si="12"/>
        <v>6.9930354909706338E-3</v>
      </c>
      <c r="D393" s="106">
        <v>68721.61</v>
      </c>
      <c r="E393" s="87">
        <f t="shared" si="13"/>
        <v>-1.0660538376328077E-3</v>
      </c>
    </row>
    <row r="394" spans="1:5" x14ac:dyDescent="0.2">
      <c r="A394" s="105" t="s">
        <v>927</v>
      </c>
      <c r="B394" s="106">
        <v>284.5</v>
      </c>
      <c r="C394" s="87">
        <f t="shared" si="12"/>
        <v>-8.748962193235954E-3</v>
      </c>
      <c r="D394" s="106">
        <v>67706.429999999993</v>
      </c>
      <c r="E394" s="87">
        <f t="shared" si="13"/>
        <v>-1.4882552555135931E-2</v>
      </c>
    </row>
    <row r="395" spans="1:5" x14ac:dyDescent="0.2">
      <c r="A395" s="105" t="s">
        <v>928</v>
      </c>
      <c r="B395" s="106">
        <v>284.5</v>
      </c>
      <c r="C395" s="87">
        <f t="shared" si="12"/>
        <v>0</v>
      </c>
      <c r="D395" s="106">
        <v>68007.570000000007</v>
      </c>
      <c r="E395" s="87">
        <f t="shared" si="13"/>
        <v>4.4378692579680745E-3</v>
      </c>
    </row>
    <row r="396" spans="1:5" x14ac:dyDescent="0.2">
      <c r="A396" s="105" t="s">
        <v>929</v>
      </c>
      <c r="B396" s="106">
        <v>286</v>
      </c>
      <c r="C396" s="87">
        <f t="shared" si="12"/>
        <v>5.2585572534669112E-3</v>
      </c>
      <c r="D396" s="106">
        <v>68153.41</v>
      </c>
      <c r="E396" s="87">
        <f t="shared" si="13"/>
        <v>2.1421710650209036E-3</v>
      </c>
    </row>
    <row r="397" spans="1:5" x14ac:dyDescent="0.2">
      <c r="A397" s="105" t="s">
        <v>930</v>
      </c>
      <c r="B397" s="106">
        <v>284.5</v>
      </c>
      <c r="C397" s="87">
        <f t="shared" si="12"/>
        <v>-5.2585572534669112E-3</v>
      </c>
      <c r="D397" s="106">
        <v>68161.119999999995</v>
      </c>
      <c r="E397" s="87">
        <f t="shared" si="13"/>
        <v>1.1312073640468157E-4</v>
      </c>
    </row>
    <row r="398" spans="1:5" x14ac:dyDescent="0.2">
      <c r="A398" s="105" t="s">
        <v>931</v>
      </c>
      <c r="B398" s="106">
        <v>287</v>
      </c>
      <c r="C398" s="87">
        <f t="shared" si="12"/>
        <v>8.748962193235954E-3</v>
      </c>
      <c r="D398" s="106">
        <v>68295.199999999997</v>
      </c>
      <c r="E398" s="87">
        <f t="shared" si="13"/>
        <v>1.9651716116975138E-3</v>
      </c>
    </row>
    <row r="399" spans="1:5" x14ac:dyDescent="0.2">
      <c r="A399" s="105" t="s">
        <v>932</v>
      </c>
      <c r="B399" s="106">
        <v>281.5</v>
      </c>
      <c r="C399" s="87">
        <f t="shared" si="12"/>
        <v>-1.9349768179876214E-2</v>
      </c>
      <c r="D399" s="106">
        <v>68084.460000000006</v>
      </c>
      <c r="E399" s="87">
        <f t="shared" si="13"/>
        <v>-3.0904926399433208E-3</v>
      </c>
    </row>
    <row r="400" spans="1:5" x14ac:dyDescent="0.2">
      <c r="A400" s="105" t="s">
        <v>933</v>
      </c>
      <c r="B400" s="106">
        <v>284</v>
      </c>
      <c r="C400" s="87">
        <f t="shared" si="12"/>
        <v>8.841790581461062E-3</v>
      </c>
      <c r="D400" s="106">
        <v>68299.820000000007</v>
      </c>
      <c r="E400" s="87">
        <f t="shared" si="13"/>
        <v>3.1581378586604814E-3</v>
      </c>
    </row>
    <row r="401" spans="1:5" x14ac:dyDescent="0.2">
      <c r="A401" s="105" t="s">
        <v>934</v>
      </c>
      <c r="B401" s="106">
        <v>296</v>
      </c>
      <c r="C401" s="87">
        <f t="shared" si="12"/>
        <v>4.1385216162853844E-2</v>
      </c>
      <c r="D401" s="106">
        <v>68885.11</v>
      </c>
      <c r="E401" s="87">
        <f t="shared" si="13"/>
        <v>8.5329132182732081E-3</v>
      </c>
    </row>
    <row r="402" spans="1:5" x14ac:dyDescent="0.2">
      <c r="A402" s="105" t="s">
        <v>935</v>
      </c>
      <c r="B402" s="106">
        <v>296</v>
      </c>
      <c r="C402" s="87">
        <f t="shared" si="12"/>
        <v>0</v>
      </c>
      <c r="D402" s="106">
        <v>70144.12</v>
      </c>
      <c r="E402" s="87">
        <f t="shared" si="13"/>
        <v>1.8111938290827467E-2</v>
      </c>
    </row>
    <row r="403" spans="1:5" x14ac:dyDescent="0.2">
      <c r="A403" s="105" t="s">
        <v>936</v>
      </c>
      <c r="B403" s="106">
        <v>301</v>
      </c>
      <c r="C403" s="87">
        <f t="shared" si="12"/>
        <v>1.6750810424815299E-2</v>
      </c>
      <c r="D403" s="106">
        <v>70503.710000000006</v>
      </c>
      <c r="E403" s="87">
        <f t="shared" si="13"/>
        <v>5.1133498966429158E-3</v>
      </c>
    </row>
    <row r="404" spans="1:5" x14ac:dyDescent="0.2">
      <c r="A404" s="105" t="s">
        <v>937</v>
      </c>
      <c r="B404" s="106">
        <v>302.5</v>
      </c>
      <c r="C404" s="87">
        <f t="shared" si="12"/>
        <v>4.9710127220210509E-3</v>
      </c>
      <c r="D404" s="106">
        <v>70897.73</v>
      </c>
      <c r="E404" s="87">
        <f t="shared" si="13"/>
        <v>5.5730835531839773E-3</v>
      </c>
    </row>
    <row r="405" spans="1:5" x14ac:dyDescent="0.2">
      <c r="A405" s="105" t="s">
        <v>938</v>
      </c>
      <c r="B405" s="106">
        <v>302</v>
      </c>
      <c r="C405" s="87">
        <f t="shared" si="12"/>
        <v>-1.6542600960267606E-3</v>
      </c>
      <c r="D405" s="106">
        <v>69991.47</v>
      </c>
      <c r="E405" s="87">
        <f t="shared" si="13"/>
        <v>-1.2865038618965485E-2</v>
      </c>
    </row>
    <row r="406" spans="1:5" x14ac:dyDescent="0.2">
      <c r="A406" s="105" t="s">
        <v>939</v>
      </c>
      <c r="B406" s="106">
        <v>301</v>
      </c>
      <c r="C406" s="87">
        <f t="shared" si="12"/>
        <v>-3.3167526259942903E-3</v>
      </c>
      <c r="D406" s="106">
        <v>69749.31</v>
      </c>
      <c r="E406" s="87">
        <f t="shared" si="13"/>
        <v>-3.4658493018895342E-3</v>
      </c>
    </row>
    <row r="407" spans="1:5" x14ac:dyDescent="0.2">
      <c r="A407" s="105" t="s">
        <v>940</v>
      </c>
      <c r="B407" s="106">
        <v>301.5</v>
      </c>
      <c r="C407" s="87">
        <f t="shared" si="12"/>
        <v>1.6597514183649409E-3</v>
      </c>
      <c r="D407" s="106">
        <v>70846.61</v>
      </c>
      <c r="E407" s="87">
        <f t="shared" si="13"/>
        <v>1.5609589247253197E-2</v>
      </c>
    </row>
    <row r="408" spans="1:5" x14ac:dyDescent="0.2">
      <c r="A408" s="105" t="s">
        <v>941</v>
      </c>
      <c r="B408" s="106">
        <v>301</v>
      </c>
      <c r="C408" s="87">
        <f t="shared" si="12"/>
        <v>-1.6597514183649409E-3</v>
      </c>
      <c r="D408" s="106">
        <v>71471.63</v>
      </c>
      <c r="E408" s="87">
        <f t="shared" si="13"/>
        <v>8.7834703172102735E-3</v>
      </c>
    </row>
    <row r="409" spans="1:5" x14ac:dyDescent="0.2">
      <c r="A409" s="105" t="s">
        <v>942</v>
      </c>
      <c r="B409" s="106">
        <v>298</v>
      </c>
      <c r="C409" s="87">
        <f t="shared" si="12"/>
        <v>-1.0016778243470803E-2</v>
      </c>
      <c r="D409" s="106">
        <v>70751.100000000006</v>
      </c>
      <c r="E409" s="87">
        <f t="shared" si="13"/>
        <v>-1.0132503638226709E-2</v>
      </c>
    </row>
    <row r="410" spans="1:5" x14ac:dyDescent="0.2">
      <c r="A410" s="105" t="s">
        <v>943</v>
      </c>
      <c r="B410" s="106">
        <v>298</v>
      </c>
      <c r="C410" s="87">
        <f t="shared" si="12"/>
        <v>0</v>
      </c>
      <c r="D410" s="106">
        <v>70814.36</v>
      </c>
      <c r="E410" s="87">
        <f t="shared" si="13"/>
        <v>8.9372088658734583E-4</v>
      </c>
    </row>
    <row r="411" spans="1:5" x14ac:dyDescent="0.2">
      <c r="A411" s="105" t="s">
        <v>399</v>
      </c>
      <c r="B411" s="106">
        <v>288.5</v>
      </c>
      <c r="C411" s="87">
        <f t="shared" si="12"/>
        <v>-3.2398400557250184E-2</v>
      </c>
      <c r="D411" s="106">
        <v>72115.48</v>
      </c>
      <c r="E411" s="87">
        <f t="shared" si="13"/>
        <v>1.8206918056570487E-2</v>
      </c>
    </row>
    <row r="412" spans="1:5" x14ac:dyDescent="0.2">
      <c r="A412" s="105" t="s">
        <v>944</v>
      </c>
      <c r="B412" s="106">
        <v>286</v>
      </c>
      <c r="C412" s="87">
        <f t="shared" si="12"/>
        <v>-8.703275128302046E-3</v>
      </c>
      <c r="D412" s="106">
        <v>72268.53</v>
      </c>
      <c r="E412" s="87">
        <f t="shared" si="13"/>
        <v>2.1200416489968177E-3</v>
      </c>
    </row>
    <row r="413" spans="1:5" x14ac:dyDescent="0.2">
      <c r="A413" s="105" t="s">
        <v>945</v>
      </c>
      <c r="B413" s="106">
        <v>288</v>
      </c>
      <c r="C413" s="87">
        <f t="shared" si="12"/>
        <v>6.9686693160937452E-3</v>
      </c>
      <c r="D413" s="106">
        <v>71965.41</v>
      </c>
      <c r="E413" s="87">
        <f t="shared" si="13"/>
        <v>-4.2031777854898422E-3</v>
      </c>
    </row>
    <row r="414" spans="1:5" x14ac:dyDescent="0.2">
      <c r="A414" s="105" t="s">
        <v>946</v>
      </c>
      <c r="B414" s="106">
        <v>289.5</v>
      </c>
      <c r="C414" s="87">
        <f t="shared" si="12"/>
        <v>5.1948168771041026E-3</v>
      </c>
      <c r="D414" s="106">
        <v>71986.429999999993</v>
      </c>
      <c r="E414" s="87">
        <f t="shared" si="13"/>
        <v>2.9204211838340655E-4</v>
      </c>
    </row>
    <row r="415" spans="1:5" x14ac:dyDescent="0.2">
      <c r="A415" s="105" t="s">
        <v>947</v>
      </c>
      <c r="B415" s="106">
        <v>290.5</v>
      </c>
      <c r="C415" s="87">
        <f t="shared" si="12"/>
        <v>3.448279278916111E-3</v>
      </c>
      <c r="D415" s="106">
        <v>71385.58</v>
      </c>
      <c r="E415" s="87">
        <f t="shared" si="13"/>
        <v>-8.3817408663122706E-3</v>
      </c>
    </row>
    <row r="416" spans="1:5" x14ac:dyDescent="0.2">
      <c r="A416" s="105" t="s">
        <v>948</v>
      </c>
      <c r="B416" s="106">
        <v>290.5</v>
      </c>
      <c r="C416" s="87">
        <f t="shared" si="12"/>
        <v>0</v>
      </c>
      <c r="D416" s="106">
        <v>71941.81</v>
      </c>
      <c r="E416" s="87">
        <f t="shared" si="13"/>
        <v>7.7617096420095066E-3</v>
      </c>
    </row>
    <row r="417" spans="1:5" x14ac:dyDescent="0.2">
      <c r="A417" s="105" t="s">
        <v>949</v>
      </c>
      <c r="B417" s="106">
        <v>290</v>
      </c>
      <c r="C417" s="87">
        <f t="shared" si="12"/>
        <v>-1.7226533114467202E-3</v>
      </c>
      <c r="D417" s="106">
        <v>71717.009999999995</v>
      </c>
      <c r="E417" s="87">
        <f t="shared" si="13"/>
        <v>-3.129639843711729E-3</v>
      </c>
    </row>
    <row r="418" spans="1:5" x14ac:dyDescent="0.2">
      <c r="A418" s="105" t="s">
        <v>950</v>
      </c>
      <c r="B418" s="106">
        <v>271.5</v>
      </c>
      <c r="C418" s="87">
        <f t="shared" si="12"/>
        <v>-6.5918783606529807E-2</v>
      </c>
      <c r="D418" s="106">
        <v>71298.19</v>
      </c>
      <c r="E418" s="87">
        <f t="shared" si="13"/>
        <v>-5.8570165589184597E-3</v>
      </c>
    </row>
    <row r="419" spans="1:5" x14ac:dyDescent="0.2">
      <c r="A419" s="105" t="s">
        <v>951</v>
      </c>
      <c r="B419" s="106">
        <v>269.5</v>
      </c>
      <c r="C419" s="87">
        <f t="shared" si="12"/>
        <v>-7.3937490249376125E-3</v>
      </c>
      <c r="D419" s="106">
        <v>71377.56</v>
      </c>
      <c r="E419" s="87">
        <f t="shared" si="13"/>
        <v>1.1125928293687082E-3</v>
      </c>
    </row>
    <row r="420" spans="1:5" x14ac:dyDescent="0.2">
      <c r="A420" s="105" t="s">
        <v>952</v>
      </c>
      <c r="B420" s="106">
        <v>267</v>
      </c>
      <c r="C420" s="87">
        <f t="shared" si="12"/>
        <v>-9.3197319488025343E-3</v>
      </c>
      <c r="D420" s="106">
        <v>71636.2</v>
      </c>
      <c r="E420" s="87">
        <f t="shared" si="13"/>
        <v>3.6169985597922505E-3</v>
      </c>
    </row>
    <row r="421" spans="1:5" x14ac:dyDescent="0.2">
      <c r="A421" s="105" t="s">
        <v>953</v>
      </c>
      <c r="B421" s="106">
        <v>273</v>
      </c>
      <c r="C421" s="87">
        <f t="shared" si="12"/>
        <v>2.2223136784710107E-2</v>
      </c>
      <c r="D421" s="106">
        <v>71383.58</v>
      </c>
      <c r="E421" s="87">
        <f t="shared" si="13"/>
        <v>-3.5326618838098511E-3</v>
      </c>
    </row>
    <row r="422" spans="1:5" x14ac:dyDescent="0.2">
      <c r="A422" s="105" t="s">
        <v>954</v>
      </c>
      <c r="B422" s="106">
        <v>272</v>
      </c>
      <c r="C422" s="87">
        <f t="shared" si="12"/>
        <v>-3.6697288889619983E-3</v>
      </c>
      <c r="D422" s="106">
        <v>70682.89</v>
      </c>
      <c r="E422" s="87">
        <f t="shared" si="13"/>
        <v>-9.8643357819447886E-3</v>
      </c>
    </row>
    <row r="423" spans="1:5" x14ac:dyDescent="0.2">
      <c r="A423" s="105" t="s">
        <v>955</v>
      </c>
      <c r="B423" s="106">
        <v>277.5</v>
      </c>
      <c r="C423" s="87">
        <f t="shared" si="12"/>
        <v>2.001886689049126E-2</v>
      </c>
      <c r="D423" s="106">
        <v>70242.39</v>
      </c>
      <c r="E423" s="87">
        <f t="shared" si="13"/>
        <v>-6.2515601833013079E-3</v>
      </c>
    </row>
    <row r="424" spans="1:5" x14ac:dyDescent="0.2">
      <c r="A424" s="105" t="s">
        <v>956</v>
      </c>
      <c r="B424" s="106">
        <v>280</v>
      </c>
      <c r="C424" s="87">
        <f t="shared" si="12"/>
        <v>8.9686699827602467E-3</v>
      </c>
      <c r="D424" s="106">
        <v>69740.36</v>
      </c>
      <c r="E424" s="87">
        <f t="shared" si="13"/>
        <v>-7.1727716793024143E-3</v>
      </c>
    </row>
    <row r="425" spans="1:5" x14ac:dyDescent="0.2">
      <c r="A425" s="105" t="s">
        <v>957</v>
      </c>
      <c r="B425" s="106">
        <v>281</v>
      </c>
      <c r="C425" s="87">
        <f t="shared" si="12"/>
        <v>3.5650661644961446E-3</v>
      </c>
      <c r="D425" s="106">
        <v>69667.83</v>
      </c>
      <c r="E425" s="87">
        <f t="shared" si="13"/>
        <v>-1.0405415427054976E-3</v>
      </c>
    </row>
    <row r="426" spans="1:5" x14ac:dyDescent="0.2">
      <c r="A426" s="105" t="s">
        <v>958</v>
      </c>
      <c r="B426" s="106">
        <v>280</v>
      </c>
      <c r="C426" s="87">
        <f t="shared" si="12"/>
        <v>-3.5650661644961446E-3</v>
      </c>
      <c r="D426" s="106">
        <v>67934.820000000007</v>
      </c>
      <c r="E426" s="87">
        <f t="shared" si="13"/>
        <v>-2.5189945640621048E-2</v>
      </c>
    </row>
    <row r="427" spans="1:5" x14ac:dyDescent="0.2">
      <c r="A427" s="105" t="s">
        <v>959</v>
      </c>
      <c r="B427" s="106">
        <v>277.5</v>
      </c>
      <c r="C427" s="87">
        <f t="shared" si="12"/>
        <v>-8.9686699827602467E-3</v>
      </c>
      <c r="D427" s="106">
        <v>67516.600000000006</v>
      </c>
      <c r="E427" s="87">
        <f t="shared" si="13"/>
        <v>-6.1752225116684656E-3</v>
      </c>
    </row>
    <row r="428" spans="1:5" x14ac:dyDescent="0.2">
      <c r="A428" s="105" t="s">
        <v>960</v>
      </c>
      <c r="B428" s="106">
        <v>281.5</v>
      </c>
      <c r="C428" s="87">
        <f t="shared" si="12"/>
        <v>1.4311514393256175E-2</v>
      </c>
      <c r="D428" s="106">
        <v>67181.67</v>
      </c>
      <c r="E428" s="87">
        <f t="shared" si="13"/>
        <v>-4.9730511055425808E-3</v>
      </c>
    </row>
    <row r="429" spans="1:5" x14ac:dyDescent="0.2">
      <c r="A429" s="105" t="s">
        <v>961</v>
      </c>
      <c r="B429" s="106">
        <v>272.5</v>
      </c>
      <c r="C429" s="87">
        <f t="shared" si="12"/>
        <v>-3.2493833476446632E-2</v>
      </c>
      <c r="D429" s="106">
        <v>66408.37</v>
      </c>
      <c r="E429" s="87">
        <f t="shared" si="13"/>
        <v>-1.157733970895336E-2</v>
      </c>
    </row>
    <row r="430" spans="1:5" x14ac:dyDescent="0.2">
      <c r="A430" s="105" t="s">
        <v>962</v>
      </c>
      <c r="B430" s="106">
        <v>273.5</v>
      </c>
      <c r="C430" s="87">
        <f t="shared" si="12"/>
        <v>3.6630077587371801E-3</v>
      </c>
      <c r="D430" s="106">
        <v>66461.039999999994</v>
      </c>
      <c r="E430" s="87">
        <f t="shared" si="13"/>
        <v>7.9280855930363714E-4</v>
      </c>
    </row>
    <row r="431" spans="1:5" x14ac:dyDescent="0.2">
      <c r="A431" s="105" t="s">
        <v>963</v>
      </c>
      <c r="B431" s="106">
        <v>273</v>
      </c>
      <c r="C431" s="87">
        <f t="shared" si="12"/>
        <v>-1.8298266770759852E-3</v>
      </c>
      <c r="D431" s="106">
        <v>67473.88</v>
      </c>
      <c r="E431" s="87">
        <f t="shared" si="13"/>
        <v>1.512464871163921E-2</v>
      </c>
    </row>
    <row r="432" spans="1:5" x14ac:dyDescent="0.2">
      <c r="A432" s="105" t="s">
        <v>964</v>
      </c>
      <c r="B432" s="106">
        <v>275</v>
      </c>
      <c r="C432" s="87">
        <f t="shared" si="12"/>
        <v>7.2993024816119245E-3</v>
      </c>
      <c r="D432" s="106">
        <v>67962.320000000007</v>
      </c>
      <c r="E432" s="87">
        <f t="shared" si="13"/>
        <v>7.2128739230947758E-3</v>
      </c>
    </row>
    <row r="433" spans="1:5" x14ac:dyDescent="0.2">
      <c r="A433" s="105" t="s">
        <v>965</v>
      </c>
      <c r="B433" s="106">
        <v>273</v>
      </c>
      <c r="C433" s="87">
        <f t="shared" si="12"/>
        <v>-7.2993024816119245E-3</v>
      </c>
      <c r="D433" s="106">
        <v>67283.22</v>
      </c>
      <c r="E433" s="87">
        <f t="shared" si="13"/>
        <v>-1.0042559738829837E-2</v>
      </c>
    </row>
    <row r="434" spans="1:5" x14ac:dyDescent="0.2">
      <c r="A434" s="105" t="s">
        <v>966</v>
      </c>
      <c r="B434" s="106">
        <v>280</v>
      </c>
      <c r="C434" s="87">
        <f t="shared" si="12"/>
        <v>2.5317807984289509E-2</v>
      </c>
      <c r="D434" s="106">
        <v>67245.279999999999</v>
      </c>
      <c r="E434" s="87">
        <f t="shared" si="13"/>
        <v>-5.6404406509891203E-4</v>
      </c>
    </row>
    <row r="435" spans="1:5" x14ac:dyDescent="0.2">
      <c r="A435" s="105" t="s">
        <v>967</v>
      </c>
      <c r="B435" s="106">
        <v>287</v>
      </c>
      <c r="C435" s="87">
        <f t="shared" si="12"/>
        <v>2.4692612590372143E-2</v>
      </c>
      <c r="D435" s="106">
        <v>66690.080000000002</v>
      </c>
      <c r="E435" s="87">
        <f t="shared" si="13"/>
        <v>-8.2906139215559449E-3</v>
      </c>
    </row>
    <row r="436" spans="1:5" x14ac:dyDescent="0.2">
      <c r="A436" s="105" t="s">
        <v>968</v>
      </c>
      <c r="B436" s="106">
        <v>284.5</v>
      </c>
      <c r="C436" s="87">
        <f t="shared" si="12"/>
        <v>-8.748962193235954E-3</v>
      </c>
      <c r="D436" s="106">
        <v>66398.81</v>
      </c>
      <c r="E436" s="87">
        <f t="shared" si="13"/>
        <v>-4.3770815885970649E-3</v>
      </c>
    </row>
    <row r="437" spans="1:5" x14ac:dyDescent="0.2">
      <c r="A437" s="105" t="s">
        <v>969</v>
      </c>
      <c r="B437" s="106">
        <v>284</v>
      </c>
      <c r="C437" s="87">
        <f t="shared" si="12"/>
        <v>-1.7590154051791984E-3</v>
      </c>
      <c r="D437" s="106">
        <v>67119.55</v>
      </c>
      <c r="E437" s="87">
        <f t="shared" si="13"/>
        <v>1.0796223091418256E-2</v>
      </c>
    </row>
    <row r="438" spans="1:5" x14ac:dyDescent="0.2">
      <c r="A438" s="105" t="s">
        <v>970</v>
      </c>
      <c r="B438" s="106">
        <v>280.5</v>
      </c>
      <c r="C438" s="87">
        <f t="shared" si="12"/>
        <v>-1.240051319845481E-2</v>
      </c>
      <c r="D438" s="106">
        <v>66272.990000000005</v>
      </c>
      <c r="E438" s="87">
        <f t="shared" si="13"/>
        <v>-1.2692934189329819E-2</v>
      </c>
    </row>
    <row r="439" spans="1:5" x14ac:dyDescent="0.2">
      <c r="A439" s="105" t="s">
        <v>971</v>
      </c>
      <c r="B439" s="106">
        <v>284</v>
      </c>
      <c r="C439" s="87">
        <f t="shared" si="12"/>
        <v>1.240051319845481E-2</v>
      </c>
      <c r="D439" s="106">
        <v>67277.2</v>
      </c>
      <c r="E439" s="87">
        <f t="shared" si="13"/>
        <v>1.5038974139068628E-2</v>
      </c>
    </row>
    <row r="440" spans="1:5" x14ac:dyDescent="0.2">
      <c r="A440" s="105" t="s">
        <v>972</v>
      </c>
      <c r="B440" s="106">
        <v>284.5</v>
      </c>
      <c r="C440" s="87">
        <f t="shared" si="12"/>
        <v>1.7590154051791984E-3</v>
      </c>
      <c r="D440" s="106">
        <v>67178.62</v>
      </c>
      <c r="E440" s="87">
        <f t="shared" si="13"/>
        <v>-1.4663555309670784E-3</v>
      </c>
    </row>
    <row r="441" spans="1:5" x14ac:dyDescent="0.2">
      <c r="A441" s="105" t="s">
        <v>973</v>
      </c>
      <c r="B441" s="106">
        <v>280</v>
      </c>
      <c r="C441" s="87">
        <f t="shared" si="12"/>
        <v>-1.5943650397136189E-2</v>
      </c>
      <c r="D441" s="106">
        <v>66889.25</v>
      </c>
      <c r="E441" s="87">
        <f t="shared" si="13"/>
        <v>-4.3167755161110932E-3</v>
      </c>
    </row>
    <row r="442" spans="1:5" x14ac:dyDescent="0.2">
      <c r="A442" s="105" t="s">
        <v>974</v>
      </c>
      <c r="B442" s="106">
        <v>284.5</v>
      </c>
      <c r="C442" s="87">
        <f t="shared" si="12"/>
        <v>1.5943650397136189E-2</v>
      </c>
      <c r="D442" s="106">
        <v>67358.25</v>
      </c>
      <c r="E442" s="87">
        <f t="shared" si="13"/>
        <v>6.9871231574882842E-3</v>
      </c>
    </row>
    <row r="443" spans="1:5" x14ac:dyDescent="0.2">
      <c r="A443" s="105" t="s">
        <v>975</v>
      </c>
      <c r="B443" s="106">
        <v>280</v>
      </c>
      <c r="C443" s="87">
        <f t="shared" si="12"/>
        <v>-1.5943650397136189E-2</v>
      </c>
      <c r="D443" s="106">
        <v>67850.509999999995</v>
      </c>
      <c r="E443" s="87">
        <f t="shared" si="13"/>
        <v>7.2815130467080991E-3</v>
      </c>
    </row>
    <row r="444" spans="1:5" x14ac:dyDescent="0.2">
      <c r="A444" s="105" t="s">
        <v>976</v>
      </c>
      <c r="B444" s="106">
        <v>281.5</v>
      </c>
      <c r="C444" s="87">
        <f t="shared" si="12"/>
        <v>5.3428444104959283E-3</v>
      </c>
      <c r="D444" s="106">
        <v>67556.070000000007</v>
      </c>
      <c r="E444" s="87">
        <f t="shared" si="13"/>
        <v>-4.348983100790349E-3</v>
      </c>
    </row>
    <row r="445" spans="1:5" x14ac:dyDescent="0.2">
      <c r="A445" s="105" t="s">
        <v>977</v>
      </c>
      <c r="B445" s="106">
        <v>283.5</v>
      </c>
      <c r="C445" s="87">
        <f t="shared" si="12"/>
        <v>7.0796755880619955E-3</v>
      </c>
      <c r="D445" s="106">
        <v>67005.539999999994</v>
      </c>
      <c r="E445" s="87">
        <f t="shared" si="13"/>
        <v>-8.1826171927463776E-3</v>
      </c>
    </row>
    <row r="446" spans="1:5" x14ac:dyDescent="0.2">
      <c r="A446" s="105" t="s">
        <v>978</v>
      </c>
      <c r="B446" s="106">
        <v>283.5</v>
      </c>
      <c r="C446" s="87">
        <f t="shared" si="12"/>
        <v>0</v>
      </c>
      <c r="D446" s="106">
        <v>65619.25</v>
      </c>
      <c r="E446" s="87">
        <f t="shared" si="13"/>
        <v>-2.0906204514389515E-2</v>
      </c>
    </row>
    <row r="447" spans="1:5" x14ac:dyDescent="0.2">
      <c r="A447" s="105" t="s">
        <v>979</v>
      </c>
      <c r="B447" s="106">
        <v>288.5</v>
      </c>
      <c r="C447" s="87">
        <f t="shared" si="12"/>
        <v>1.7482962780347222E-2</v>
      </c>
      <c r="D447" s="106">
        <v>66297.570000000007</v>
      </c>
      <c r="E447" s="87">
        <f t="shared" si="13"/>
        <v>1.0284146911025971E-2</v>
      </c>
    </row>
    <row r="448" spans="1:5" x14ac:dyDescent="0.2">
      <c r="A448" s="105" t="s">
        <v>980</v>
      </c>
      <c r="B448" s="106">
        <v>282.5</v>
      </c>
      <c r="C448" s="87">
        <f t="shared" si="12"/>
        <v>-2.1016535361658484E-2</v>
      </c>
      <c r="D448" s="106">
        <v>66531.53</v>
      </c>
      <c r="E448" s="87">
        <f t="shared" si="13"/>
        <v>3.5227256970902232E-3</v>
      </c>
    </row>
    <row r="449" spans="1:5" x14ac:dyDescent="0.2">
      <c r="A449" s="105" t="s">
        <v>981</v>
      </c>
      <c r="B449" s="106">
        <v>291.5</v>
      </c>
      <c r="C449" s="87">
        <f t="shared" si="12"/>
        <v>3.136145520405087E-2</v>
      </c>
      <c r="D449" s="106">
        <v>66093.75</v>
      </c>
      <c r="E449" s="87">
        <f t="shared" si="13"/>
        <v>-6.6017819528596533E-3</v>
      </c>
    </row>
    <row r="450" spans="1:5" x14ac:dyDescent="0.2">
      <c r="A450" s="105" t="s">
        <v>982</v>
      </c>
      <c r="B450" s="106">
        <v>290</v>
      </c>
      <c r="C450" s="87">
        <f t="shared" si="12"/>
        <v>-5.1590828100271935E-3</v>
      </c>
      <c r="D450" s="106">
        <v>66567.5</v>
      </c>
      <c r="E450" s="87">
        <f t="shared" si="13"/>
        <v>7.1422817728166166E-3</v>
      </c>
    </row>
    <row r="451" spans="1:5" x14ac:dyDescent="0.2">
      <c r="A451" s="105" t="s">
        <v>983</v>
      </c>
      <c r="B451" s="106">
        <v>287</v>
      </c>
      <c r="C451" s="87">
        <f t="shared" si="12"/>
        <v>-1.0398707220898196E-2</v>
      </c>
      <c r="D451" s="106">
        <v>65683.039999999994</v>
      </c>
      <c r="E451" s="87">
        <f t="shared" si="13"/>
        <v>-1.3375721362143267E-2</v>
      </c>
    </row>
    <row r="452" spans="1:5" x14ac:dyDescent="0.2">
      <c r="A452" s="105" t="s">
        <v>984</v>
      </c>
      <c r="B452" s="106">
        <v>285</v>
      </c>
      <c r="C452" s="87">
        <f t="shared" si="12"/>
        <v>-6.9930354909706338E-3</v>
      </c>
      <c r="D452" s="106">
        <v>65654.39</v>
      </c>
      <c r="E452" s="87">
        <f t="shared" si="13"/>
        <v>-4.3628081430391319E-4</v>
      </c>
    </row>
    <row r="453" spans="1:5" x14ac:dyDescent="0.2">
      <c r="A453" s="105" t="s">
        <v>401</v>
      </c>
      <c r="B453" s="106">
        <v>280</v>
      </c>
      <c r="C453" s="87">
        <f t="shared" ref="C453:C516" si="14">LN(B453)-LN(B452)</f>
        <v>-1.7699577099401509E-2</v>
      </c>
      <c r="D453" s="106">
        <v>63636.25</v>
      </c>
      <c r="E453" s="87">
        <f t="shared" ref="E453:E516" si="15">LN(D453)-LN(D452)</f>
        <v>-3.1221191747867749E-2</v>
      </c>
    </row>
    <row r="454" spans="1:5" x14ac:dyDescent="0.2">
      <c r="A454" s="105" t="s">
        <v>985</v>
      </c>
      <c r="B454" s="106">
        <v>273.5</v>
      </c>
      <c r="C454" s="87">
        <f t="shared" si="14"/>
        <v>-2.3487981307213524E-2</v>
      </c>
      <c r="D454" s="106">
        <v>62285.97</v>
      </c>
      <c r="E454" s="87">
        <f t="shared" si="15"/>
        <v>-2.144707673927293E-2</v>
      </c>
    </row>
    <row r="455" spans="1:5" x14ac:dyDescent="0.2">
      <c r="A455" s="105" t="s">
        <v>986</v>
      </c>
      <c r="B455" s="106">
        <v>278</v>
      </c>
      <c r="C455" s="87">
        <f t="shared" si="14"/>
        <v>1.6319491828601151E-2</v>
      </c>
      <c r="D455" s="106">
        <v>63820.35</v>
      </c>
      <c r="E455" s="87">
        <f t="shared" si="15"/>
        <v>2.4335905219418308E-2</v>
      </c>
    </row>
    <row r="456" spans="1:5" x14ac:dyDescent="0.2">
      <c r="A456" s="105" t="s">
        <v>987</v>
      </c>
      <c r="B456" s="106">
        <v>277</v>
      </c>
      <c r="C456" s="87">
        <f t="shared" si="14"/>
        <v>-3.6036075032983561E-3</v>
      </c>
      <c r="D456" s="106">
        <v>64683.98</v>
      </c>
      <c r="E456" s="87">
        <f t="shared" si="15"/>
        <v>1.3441461510877772E-2</v>
      </c>
    </row>
    <row r="457" spans="1:5" x14ac:dyDescent="0.2">
      <c r="A457" s="105" t="s">
        <v>988</v>
      </c>
      <c r="B457" s="106">
        <v>280</v>
      </c>
      <c r="C457" s="87">
        <f t="shared" si="14"/>
        <v>1.0772096981910728E-2</v>
      </c>
      <c r="D457" s="106">
        <v>64788.01</v>
      </c>
      <c r="E457" s="87">
        <f t="shared" si="15"/>
        <v>1.6069888535330534E-3</v>
      </c>
    </row>
    <row r="458" spans="1:5" x14ac:dyDescent="0.2">
      <c r="A458" s="105" t="s">
        <v>989</v>
      </c>
      <c r="B458" s="106">
        <v>278</v>
      </c>
      <c r="C458" s="87">
        <f t="shared" si="14"/>
        <v>-7.1684894786123721E-3</v>
      </c>
      <c r="D458" s="106">
        <v>63671.87</v>
      </c>
      <c r="E458" s="87">
        <f t="shared" si="15"/>
        <v>-1.7377691586029087E-2</v>
      </c>
    </row>
    <row r="459" spans="1:5" x14ac:dyDescent="0.2">
      <c r="A459" s="105" t="s">
        <v>990</v>
      </c>
      <c r="B459" s="106">
        <v>278</v>
      </c>
      <c r="C459" s="87">
        <f t="shared" si="14"/>
        <v>0</v>
      </c>
      <c r="D459" s="106">
        <v>64116.959999999999</v>
      </c>
      <c r="E459" s="87">
        <f t="shared" si="15"/>
        <v>6.9660517255503152E-3</v>
      </c>
    </row>
    <row r="460" spans="1:5" x14ac:dyDescent="0.2">
      <c r="A460" s="105" t="s">
        <v>991</v>
      </c>
      <c r="B460" s="106">
        <v>278</v>
      </c>
      <c r="C460" s="87">
        <f t="shared" si="14"/>
        <v>0</v>
      </c>
      <c r="D460" s="106">
        <v>65419.25</v>
      </c>
      <c r="E460" s="87">
        <f t="shared" si="15"/>
        <v>2.0107642147310756E-2</v>
      </c>
    </row>
    <row r="461" spans="1:5" x14ac:dyDescent="0.2">
      <c r="A461" s="105" t="s">
        <v>992</v>
      </c>
      <c r="B461" s="106">
        <v>280</v>
      </c>
      <c r="C461" s="87">
        <f t="shared" si="14"/>
        <v>7.1684894786123721E-3</v>
      </c>
      <c r="D461" s="106">
        <v>65430.97</v>
      </c>
      <c r="E461" s="87">
        <f t="shared" si="15"/>
        <v>1.7913611503672655E-4</v>
      </c>
    </row>
    <row r="462" spans="1:5" x14ac:dyDescent="0.2">
      <c r="A462" s="105" t="s">
        <v>993</v>
      </c>
      <c r="B462" s="106">
        <v>278</v>
      </c>
      <c r="C462" s="87">
        <f t="shared" si="14"/>
        <v>-7.1684894786123721E-3</v>
      </c>
      <c r="D462" s="106">
        <v>64919.22</v>
      </c>
      <c r="E462" s="87">
        <f t="shared" si="15"/>
        <v>-7.851965988797005E-3</v>
      </c>
    </row>
    <row r="463" spans="1:5" x14ac:dyDescent="0.2">
      <c r="A463" s="105" t="s">
        <v>994</v>
      </c>
      <c r="B463" s="106">
        <v>277</v>
      </c>
      <c r="C463" s="87">
        <f t="shared" si="14"/>
        <v>-3.6036075032983561E-3</v>
      </c>
      <c r="D463" s="106">
        <v>63629.04</v>
      </c>
      <c r="E463" s="87">
        <f t="shared" si="15"/>
        <v>-2.0073757878900977E-2</v>
      </c>
    </row>
    <row r="464" spans="1:5" x14ac:dyDescent="0.2">
      <c r="A464" s="105" t="s">
        <v>995</v>
      </c>
      <c r="B464" s="106">
        <v>279.5</v>
      </c>
      <c r="C464" s="87">
        <f t="shared" si="14"/>
        <v>8.9847864078151929E-3</v>
      </c>
      <c r="D464" s="106">
        <v>63519.199999999997</v>
      </c>
      <c r="E464" s="87">
        <f t="shared" si="15"/>
        <v>-1.7277475067487558E-3</v>
      </c>
    </row>
    <row r="465" spans="1:5" x14ac:dyDescent="0.2">
      <c r="A465" s="105" t="s">
        <v>996</v>
      </c>
      <c r="B465" s="106">
        <v>281</v>
      </c>
      <c r="C465" s="87">
        <f t="shared" si="14"/>
        <v>5.3523767385916798E-3</v>
      </c>
      <c r="D465" s="106">
        <v>63940.58</v>
      </c>
      <c r="E465" s="87">
        <f t="shared" si="15"/>
        <v>6.6119921934895132E-3</v>
      </c>
    </row>
    <row r="466" spans="1:5" x14ac:dyDescent="0.2">
      <c r="A466" s="105" t="s">
        <v>997</v>
      </c>
      <c r="B466" s="106">
        <v>277</v>
      </c>
      <c r="C466" s="87">
        <f t="shared" si="14"/>
        <v>-1.4337163146406873E-2</v>
      </c>
      <c r="D466" s="106">
        <v>63691.31</v>
      </c>
      <c r="E466" s="87">
        <f t="shared" si="15"/>
        <v>-3.9060820447911482E-3</v>
      </c>
    </row>
    <row r="467" spans="1:5" x14ac:dyDescent="0.2">
      <c r="A467" s="105" t="s">
        <v>998</v>
      </c>
      <c r="B467" s="106">
        <v>278</v>
      </c>
      <c r="C467" s="87">
        <f t="shared" si="14"/>
        <v>3.6036075032983561E-3</v>
      </c>
      <c r="D467" s="106">
        <v>63669.39</v>
      </c>
      <c r="E467" s="87">
        <f t="shared" si="15"/>
        <v>-3.4421921701799363E-4</v>
      </c>
    </row>
    <row r="468" spans="1:5" x14ac:dyDescent="0.2">
      <c r="A468" s="105" t="s">
        <v>999</v>
      </c>
      <c r="B468" s="106">
        <v>281</v>
      </c>
      <c r="C468" s="87">
        <f t="shared" si="14"/>
        <v>1.0733555643108517E-2</v>
      </c>
      <c r="D468" s="106">
        <v>63144.1</v>
      </c>
      <c r="E468" s="87">
        <f t="shared" si="15"/>
        <v>-8.2844972462208233E-3</v>
      </c>
    </row>
    <row r="469" spans="1:5" x14ac:dyDescent="0.2">
      <c r="A469" s="105" t="s">
        <v>1000</v>
      </c>
      <c r="B469" s="106">
        <v>277</v>
      </c>
      <c r="C469" s="87">
        <f t="shared" si="14"/>
        <v>-1.4337163146406873E-2</v>
      </c>
      <c r="D469" s="106">
        <v>63573.42</v>
      </c>
      <c r="E469" s="87">
        <f t="shared" si="15"/>
        <v>6.7760423763889577E-3</v>
      </c>
    </row>
    <row r="470" spans="1:5" x14ac:dyDescent="0.2">
      <c r="A470" s="105" t="s">
        <v>1001</v>
      </c>
      <c r="B470" s="106">
        <v>287</v>
      </c>
      <c r="C470" s="87">
        <f t="shared" si="14"/>
        <v>3.5464709572282871E-2</v>
      </c>
      <c r="D470" s="106">
        <v>63189.09</v>
      </c>
      <c r="E470" s="87">
        <f t="shared" si="15"/>
        <v>-6.0637987941305482E-3</v>
      </c>
    </row>
    <row r="471" spans="1:5" x14ac:dyDescent="0.2">
      <c r="A471" s="105" t="s">
        <v>1002</v>
      </c>
      <c r="B471" s="106">
        <v>289</v>
      </c>
      <c r="C471" s="87">
        <f t="shared" si="14"/>
        <v>6.9444723528109265E-3</v>
      </c>
      <c r="D471" s="106">
        <v>63135.67</v>
      </c>
      <c r="E471" s="87">
        <f t="shared" si="15"/>
        <v>-8.4575665426633861E-4</v>
      </c>
    </row>
    <row r="472" spans="1:5" x14ac:dyDescent="0.2">
      <c r="A472" s="105" t="s">
        <v>1003</v>
      </c>
      <c r="B472" s="106">
        <v>290</v>
      </c>
      <c r="C472" s="87">
        <f t="shared" si="14"/>
        <v>3.4542348680872692E-3</v>
      </c>
      <c r="D472" s="106">
        <v>62692.959999999999</v>
      </c>
      <c r="E472" s="87">
        <f t="shared" si="15"/>
        <v>-7.0367423814126084E-3</v>
      </c>
    </row>
    <row r="473" spans="1:5" x14ac:dyDescent="0.2">
      <c r="A473" s="105" t="s">
        <v>1004</v>
      </c>
      <c r="B473" s="106">
        <v>288.5</v>
      </c>
      <c r="C473" s="87">
        <f t="shared" si="14"/>
        <v>-5.1858370323651926E-3</v>
      </c>
      <c r="D473" s="106">
        <v>61875.44</v>
      </c>
      <c r="E473" s="87">
        <f t="shared" si="15"/>
        <v>-1.3125828658488103E-2</v>
      </c>
    </row>
    <row r="474" spans="1:5" x14ac:dyDescent="0.2">
      <c r="A474" s="105" t="s">
        <v>1005</v>
      </c>
      <c r="B474" s="106">
        <v>292</v>
      </c>
      <c r="C474" s="87">
        <f t="shared" si="14"/>
        <v>1.2058716320127338E-2</v>
      </c>
      <c r="D474" s="106">
        <v>62839.63</v>
      </c>
      <c r="E474" s="87">
        <f t="shared" si="15"/>
        <v>1.5462593425956683E-2</v>
      </c>
    </row>
    <row r="475" spans="1:5" x14ac:dyDescent="0.2">
      <c r="A475" s="105" t="s">
        <v>1006</v>
      </c>
      <c r="B475" s="106">
        <v>291</v>
      </c>
      <c r="C475" s="87">
        <f t="shared" si="14"/>
        <v>-3.4305350967889225E-3</v>
      </c>
      <c r="D475" s="106">
        <v>62948.5</v>
      </c>
      <c r="E475" s="87">
        <f t="shared" si="15"/>
        <v>1.7310063705497925E-3</v>
      </c>
    </row>
    <row r="476" spans="1:5" x14ac:dyDescent="0.2">
      <c r="A476" s="105" t="s">
        <v>1007</v>
      </c>
      <c r="B476" s="106">
        <v>291</v>
      </c>
      <c r="C476" s="87">
        <f t="shared" si="14"/>
        <v>0</v>
      </c>
      <c r="D476" s="106">
        <v>63569.86</v>
      </c>
      <c r="E476" s="87">
        <f t="shared" si="15"/>
        <v>9.8225268780218755E-3</v>
      </c>
    </row>
    <row r="477" spans="1:5" x14ac:dyDescent="0.2">
      <c r="A477" s="105" t="s">
        <v>1008</v>
      </c>
      <c r="B477" s="106">
        <v>292</v>
      </c>
      <c r="C477" s="87">
        <f t="shared" si="14"/>
        <v>3.4305350967889225E-3</v>
      </c>
      <c r="D477" s="106">
        <v>61980.14</v>
      </c>
      <c r="E477" s="87">
        <f t="shared" si="15"/>
        <v>-2.532544749900012E-2</v>
      </c>
    </row>
    <row r="478" spans="1:5" x14ac:dyDescent="0.2">
      <c r="A478" s="105" t="s">
        <v>1009</v>
      </c>
      <c r="B478" s="106">
        <v>288.5</v>
      </c>
      <c r="C478" s="87">
        <f t="shared" si="14"/>
        <v>-1.2058716320127338E-2</v>
      </c>
      <c r="D478" s="106">
        <v>62147.08</v>
      </c>
      <c r="E478" s="87">
        <f t="shared" si="15"/>
        <v>2.6898225973788215E-3</v>
      </c>
    </row>
    <row r="479" spans="1:5" x14ac:dyDescent="0.2">
      <c r="A479" s="105" t="s">
        <v>1010</v>
      </c>
      <c r="B479" s="106">
        <v>292</v>
      </c>
      <c r="C479" s="87">
        <f t="shared" si="14"/>
        <v>1.2058716320127338E-2</v>
      </c>
      <c r="D479" s="106">
        <v>62642.5</v>
      </c>
      <c r="E479" s="87">
        <f t="shared" si="15"/>
        <v>7.9401277388075897E-3</v>
      </c>
    </row>
    <row r="480" spans="1:5" x14ac:dyDescent="0.2">
      <c r="A480" s="105" t="s">
        <v>1011</v>
      </c>
      <c r="B480" s="106">
        <v>285</v>
      </c>
      <c r="C480" s="87">
        <f t="shared" si="14"/>
        <v>-2.4264621999630975E-2</v>
      </c>
      <c r="D480" s="106">
        <v>62409.21</v>
      </c>
      <c r="E480" s="87">
        <f t="shared" si="15"/>
        <v>-3.7311008484088859E-3</v>
      </c>
    </row>
    <row r="481" spans="1:5" x14ac:dyDescent="0.2">
      <c r="A481" s="105" t="s">
        <v>1012</v>
      </c>
      <c r="B481" s="106">
        <v>287</v>
      </c>
      <c r="C481" s="87">
        <f t="shared" si="14"/>
        <v>6.9930354909706338E-3</v>
      </c>
      <c r="D481" s="106">
        <v>62756.88</v>
      </c>
      <c r="E481" s="87">
        <f t="shared" si="15"/>
        <v>5.5553527979856909E-3</v>
      </c>
    </row>
    <row r="482" spans="1:5" x14ac:dyDescent="0.2">
      <c r="A482" s="105" t="s">
        <v>1013</v>
      </c>
      <c r="B482" s="106">
        <v>288</v>
      </c>
      <c r="C482" s="87">
        <f t="shared" si="14"/>
        <v>3.4782643763247023E-3</v>
      </c>
      <c r="D482" s="106">
        <v>62435.08</v>
      </c>
      <c r="E482" s="87">
        <f t="shared" si="15"/>
        <v>-5.1409165371012477E-3</v>
      </c>
    </row>
    <row r="483" spans="1:5" x14ac:dyDescent="0.2">
      <c r="A483" s="105" t="s">
        <v>1014</v>
      </c>
      <c r="B483" s="106">
        <v>293</v>
      </c>
      <c r="C483" s="87">
        <f t="shared" si="14"/>
        <v>1.7212128881121558E-2</v>
      </c>
      <c r="D483" s="106">
        <v>62496.3</v>
      </c>
      <c r="E483" s="87">
        <f t="shared" si="15"/>
        <v>9.8005809109480424E-4</v>
      </c>
    </row>
    <row r="484" spans="1:5" x14ac:dyDescent="0.2">
      <c r="A484" s="105" t="s">
        <v>1015</v>
      </c>
      <c r="B484" s="106">
        <v>298.5</v>
      </c>
      <c r="C484" s="87">
        <f t="shared" si="14"/>
        <v>1.8597323815589206E-2</v>
      </c>
      <c r="D484" s="106">
        <v>61656.26</v>
      </c>
      <c r="E484" s="87">
        <f t="shared" si="15"/>
        <v>-1.3532589577533116E-2</v>
      </c>
    </row>
    <row r="485" spans="1:5" x14ac:dyDescent="0.2">
      <c r="A485" s="105" t="s">
        <v>1016</v>
      </c>
      <c r="B485" s="106">
        <v>294.5</v>
      </c>
      <c r="C485" s="87">
        <f t="shared" si="14"/>
        <v>-1.3490929741015734E-2</v>
      </c>
      <c r="D485" s="106">
        <v>61293.06</v>
      </c>
      <c r="E485" s="87">
        <f t="shared" si="15"/>
        <v>-5.908142582523368E-3</v>
      </c>
    </row>
    <row r="486" spans="1:5" x14ac:dyDescent="0.2">
      <c r="A486" s="105" t="s">
        <v>1017</v>
      </c>
      <c r="B486" s="106">
        <v>287.5</v>
      </c>
      <c r="C486" s="87">
        <f t="shared" si="14"/>
        <v>-2.4056142854235851E-2</v>
      </c>
      <c r="D486" s="106">
        <v>60938.85</v>
      </c>
      <c r="E486" s="87">
        <f t="shared" si="15"/>
        <v>-5.7957204710845645E-3</v>
      </c>
    </row>
    <row r="487" spans="1:5" x14ac:dyDescent="0.2">
      <c r="A487" s="105" t="s">
        <v>1018</v>
      </c>
      <c r="B487" s="106">
        <v>288</v>
      </c>
      <c r="C487" s="87">
        <f t="shared" si="14"/>
        <v>1.7376198985408209E-3</v>
      </c>
      <c r="D487" s="106">
        <v>60262.5</v>
      </c>
      <c r="E487" s="87">
        <f t="shared" si="15"/>
        <v>-1.1160882627086366E-2</v>
      </c>
    </row>
    <row r="488" spans="1:5" x14ac:dyDescent="0.2">
      <c r="A488" s="105" t="s">
        <v>1019</v>
      </c>
      <c r="B488" s="106">
        <v>287</v>
      </c>
      <c r="C488" s="87">
        <f t="shared" si="14"/>
        <v>-3.4782643763247023E-3</v>
      </c>
      <c r="D488" s="106">
        <v>59538.91</v>
      </c>
      <c r="E488" s="87">
        <f t="shared" si="15"/>
        <v>-1.2079971332175532E-2</v>
      </c>
    </row>
    <row r="489" spans="1:5" x14ac:dyDescent="0.2">
      <c r="A489" s="105" t="s">
        <v>1020</v>
      </c>
      <c r="B489" s="106">
        <v>285.5</v>
      </c>
      <c r="C489" s="87">
        <f t="shared" si="14"/>
        <v>-5.240186663556301E-3</v>
      </c>
      <c r="D489" s="106">
        <v>58538.87</v>
      </c>
      <c r="E489" s="87">
        <f t="shared" si="15"/>
        <v>-1.6939070362786524E-2</v>
      </c>
    </row>
    <row r="490" spans="1:5" x14ac:dyDescent="0.2">
      <c r="A490" s="105" t="s">
        <v>1021</v>
      </c>
      <c r="B490" s="106">
        <v>285.5</v>
      </c>
      <c r="C490" s="87">
        <f t="shared" si="14"/>
        <v>0</v>
      </c>
      <c r="D490" s="106">
        <v>58548.76</v>
      </c>
      <c r="E490" s="87">
        <f t="shared" si="15"/>
        <v>1.6893330274925233E-4</v>
      </c>
    </row>
    <row r="491" spans="1:5" x14ac:dyDescent="0.2">
      <c r="A491" s="105" t="s">
        <v>1022</v>
      </c>
      <c r="B491" s="106">
        <v>287</v>
      </c>
      <c r="C491" s="87">
        <f t="shared" si="14"/>
        <v>5.240186663556301E-3</v>
      </c>
      <c r="D491" s="106">
        <v>59027.199999999997</v>
      </c>
      <c r="E491" s="87">
        <f t="shared" si="15"/>
        <v>8.1384432796802741E-3</v>
      </c>
    </row>
    <row r="492" spans="1:5" x14ac:dyDescent="0.2">
      <c r="A492" s="105" t="s">
        <v>1023</v>
      </c>
      <c r="B492" s="106">
        <v>333</v>
      </c>
      <c r="C492" s="87">
        <f t="shared" si="14"/>
        <v>0.14866027422082251</v>
      </c>
      <c r="D492" s="106">
        <v>59045.1</v>
      </c>
      <c r="E492" s="87">
        <f t="shared" si="15"/>
        <v>3.0320405611128365E-4</v>
      </c>
    </row>
    <row r="493" spans="1:5" x14ac:dyDescent="0.2">
      <c r="A493" s="105" t="s">
        <v>1024</v>
      </c>
      <c r="B493" s="106">
        <v>335</v>
      </c>
      <c r="C493" s="87">
        <f t="shared" si="14"/>
        <v>5.988041844622316E-3</v>
      </c>
      <c r="D493" s="106">
        <v>58608.76</v>
      </c>
      <c r="E493" s="87">
        <f t="shared" si="15"/>
        <v>-7.4173852099708171E-3</v>
      </c>
    </row>
    <row r="494" spans="1:5" x14ac:dyDescent="0.2">
      <c r="A494" s="105" t="s">
        <v>1025</v>
      </c>
      <c r="B494" s="106">
        <v>329</v>
      </c>
      <c r="C494" s="87">
        <f t="shared" si="14"/>
        <v>-1.8072781059694343E-2</v>
      </c>
      <c r="D494" s="106">
        <v>58665.21</v>
      </c>
      <c r="E494" s="87">
        <f t="shared" si="15"/>
        <v>9.6270305098045128E-4</v>
      </c>
    </row>
    <row r="495" spans="1:5" x14ac:dyDescent="0.2">
      <c r="A495" s="105" t="s">
        <v>1026</v>
      </c>
      <c r="B495" s="106">
        <v>343</v>
      </c>
      <c r="C495" s="87">
        <f t="shared" si="14"/>
        <v>4.1672696400567588E-2</v>
      </c>
      <c r="D495" s="106">
        <v>57173.15</v>
      </c>
      <c r="E495" s="87">
        <f t="shared" si="15"/>
        <v>-2.576249393027652E-2</v>
      </c>
    </row>
    <row r="496" spans="1:5" x14ac:dyDescent="0.2">
      <c r="A496" s="105" t="s">
        <v>1027</v>
      </c>
      <c r="B496" s="106">
        <v>325</v>
      </c>
      <c r="C496" s="87">
        <f t="shared" si="14"/>
        <v>-5.3905264836202171E-2</v>
      </c>
      <c r="D496" s="106">
        <v>56770</v>
      </c>
      <c r="E496" s="87">
        <f t="shared" si="15"/>
        <v>-7.076365403417384E-3</v>
      </c>
    </row>
    <row r="497" spans="1:5" x14ac:dyDescent="0.2">
      <c r="A497" s="105" t="s">
        <v>1028</v>
      </c>
      <c r="B497" s="106">
        <v>310</v>
      </c>
      <c r="C497" s="87">
        <f t="shared" si="14"/>
        <v>-4.7252884850545129E-2</v>
      </c>
      <c r="D497" s="106">
        <v>56502.5</v>
      </c>
      <c r="E497" s="87">
        <f t="shared" si="15"/>
        <v>-4.7231322215335325E-3</v>
      </c>
    </row>
    <row r="498" spans="1:5" x14ac:dyDescent="0.2">
      <c r="A498" s="105" t="s">
        <v>1029</v>
      </c>
      <c r="B498" s="106">
        <v>304</v>
      </c>
      <c r="C498" s="87">
        <f t="shared" si="14"/>
        <v>-1.9544596072970322E-2</v>
      </c>
      <c r="D498" s="106">
        <v>56024.38</v>
      </c>
      <c r="E498" s="87">
        <f t="shared" si="15"/>
        <v>-8.4979318235198775E-3</v>
      </c>
    </row>
    <row r="499" spans="1:5" x14ac:dyDescent="0.2">
      <c r="A499" s="105" t="s">
        <v>1030</v>
      </c>
      <c r="B499" s="106">
        <v>309.5</v>
      </c>
      <c r="C499" s="87">
        <f t="shared" si="14"/>
        <v>1.7930390718428946E-2</v>
      </c>
      <c r="D499" s="106">
        <v>56983.56</v>
      </c>
      <c r="E499" s="87">
        <f t="shared" si="15"/>
        <v>1.6975852042985906E-2</v>
      </c>
    </row>
    <row r="500" spans="1:5" x14ac:dyDescent="0.2">
      <c r="A500" s="105" t="s">
        <v>1031</v>
      </c>
      <c r="B500" s="106">
        <v>310.5</v>
      </c>
      <c r="C500" s="87">
        <f t="shared" si="14"/>
        <v>3.2258092488826051E-3</v>
      </c>
      <c r="D500" s="106">
        <v>56989.760000000002</v>
      </c>
      <c r="E500" s="87">
        <f t="shared" si="15"/>
        <v>1.0879739233971009E-4</v>
      </c>
    </row>
    <row r="501" spans="1:5" x14ac:dyDescent="0.2">
      <c r="A501" s="105" t="s">
        <v>1032</v>
      </c>
      <c r="B501" s="106">
        <v>320</v>
      </c>
      <c r="C501" s="87">
        <f t="shared" si="14"/>
        <v>3.0137094420238597E-2</v>
      </c>
      <c r="D501" s="106">
        <v>57317.98</v>
      </c>
      <c r="E501" s="87">
        <f t="shared" si="15"/>
        <v>5.7427590124312644E-3</v>
      </c>
    </row>
    <row r="502" spans="1:5" x14ac:dyDescent="0.2">
      <c r="A502" s="105" t="s">
        <v>1033</v>
      </c>
      <c r="B502" s="106">
        <v>318</v>
      </c>
      <c r="C502" s="87">
        <f t="shared" si="14"/>
        <v>-6.2696130135950767E-3</v>
      </c>
      <c r="D502" s="106">
        <v>56451.040000000001</v>
      </c>
      <c r="E502" s="87">
        <f t="shared" si="15"/>
        <v>-1.5240647775849325E-2</v>
      </c>
    </row>
    <row r="503" spans="1:5" x14ac:dyDescent="0.2">
      <c r="A503" s="105" t="s">
        <v>1034</v>
      </c>
      <c r="B503" s="106">
        <v>305</v>
      </c>
      <c r="C503" s="87">
        <f t="shared" si="14"/>
        <v>-4.1739606172765065E-2</v>
      </c>
      <c r="D503" s="106">
        <v>56283.05</v>
      </c>
      <c r="E503" s="87">
        <f t="shared" si="15"/>
        <v>-2.9802897125872363E-3</v>
      </c>
    </row>
    <row r="504" spans="1:5" x14ac:dyDescent="0.2">
      <c r="A504" s="105" t="s">
        <v>1035</v>
      </c>
      <c r="B504" s="106">
        <v>307</v>
      </c>
      <c r="C504" s="87">
        <f t="shared" si="14"/>
        <v>6.5359709797849774E-3</v>
      </c>
      <c r="D504" s="106">
        <v>56905.06</v>
      </c>
      <c r="E504" s="87">
        <f t="shared" si="15"/>
        <v>1.099084102528991E-2</v>
      </c>
    </row>
    <row r="505" spans="1:5" x14ac:dyDescent="0.2">
      <c r="A505" s="105" t="s">
        <v>1036</v>
      </c>
      <c r="B505" s="106">
        <v>307</v>
      </c>
      <c r="C505" s="87">
        <f t="shared" si="14"/>
        <v>0</v>
      </c>
      <c r="D505" s="106">
        <v>56844.08</v>
      </c>
      <c r="E505" s="87">
        <f t="shared" si="15"/>
        <v>-1.0721840330720767E-3</v>
      </c>
    </row>
    <row r="506" spans="1:5" x14ac:dyDescent="0.2">
      <c r="A506" s="105" t="s">
        <v>1037</v>
      </c>
      <c r="B506" s="106">
        <v>306.5</v>
      </c>
      <c r="C506" s="87">
        <f t="shared" si="14"/>
        <v>-1.6299922109306308E-3</v>
      </c>
      <c r="D506" s="106">
        <v>58386.16</v>
      </c>
      <c r="E506" s="87">
        <f t="shared" si="15"/>
        <v>2.6766794358001889E-2</v>
      </c>
    </row>
    <row r="507" spans="1:5" x14ac:dyDescent="0.2">
      <c r="A507" s="105" t="s">
        <v>1038</v>
      </c>
      <c r="B507" s="106">
        <v>312</v>
      </c>
      <c r="C507" s="87">
        <f t="shared" si="14"/>
        <v>1.7785432433216286E-2</v>
      </c>
      <c r="D507" s="106">
        <v>58204.15</v>
      </c>
      <c r="E507" s="87">
        <f t="shared" si="15"/>
        <v>-3.1222174099454492E-3</v>
      </c>
    </row>
    <row r="508" spans="1:5" x14ac:dyDescent="0.2">
      <c r="A508" s="105" t="s">
        <v>1039</v>
      </c>
      <c r="B508" s="106">
        <v>315</v>
      </c>
      <c r="C508" s="87">
        <f t="shared" si="14"/>
        <v>9.5694510161505875E-3</v>
      </c>
      <c r="D508" s="106">
        <v>59570</v>
      </c>
      <c r="E508" s="87">
        <f t="shared" si="15"/>
        <v>2.3195433603421023E-2</v>
      </c>
    </row>
    <row r="509" spans="1:5" x14ac:dyDescent="0.2">
      <c r="A509" s="105" t="s">
        <v>1040</v>
      </c>
      <c r="B509" s="106">
        <v>323</v>
      </c>
      <c r="C509" s="87">
        <f t="shared" si="14"/>
        <v>2.507968439702335E-2</v>
      </c>
      <c r="D509" s="106">
        <v>60642.79</v>
      </c>
      <c r="E509" s="87">
        <f t="shared" si="15"/>
        <v>1.784865786995482E-2</v>
      </c>
    </row>
    <row r="510" spans="1:5" x14ac:dyDescent="0.2">
      <c r="A510" s="105" t="s">
        <v>1041</v>
      </c>
      <c r="B510" s="106">
        <v>321</v>
      </c>
      <c r="C510" s="87">
        <f t="shared" si="14"/>
        <v>-6.2112000926406452E-3</v>
      </c>
      <c r="D510" s="106">
        <v>61096.28</v>
      </c>
      <c r="E510" s="87">
        <f t="shared" si="15"/>
        <v>7.4502310164508145E-3</v>
      </c>
    </row>
    <row r="511" spans="1:5" x14ac:dyDescent="0.2">
      <c r="A511" s="105" t="s">
        <v>1042</v>
      </c>
      <c r="B511" s="106">
        <v>319.5</v>
      </c>
      <c r="C511" s="87">
        <f t="shared" si="14"/>
        <v>-4.6838493124266023E-3</v>
      </c>
      <c r="D511" s="106">
        <v>60852.51</v>
      </c>
      <c r="E511" s="87">
        <f t="shared" si="15"/>
        <v>-3.9979129712968131E-3</v>
      </c>
    </row>
    <row r="512" spans="1:5" x14ac:dyDescent="0.2">
      <c r="A512" s="105" t="s">
        <v>1043</v>
      </c>
      <c r="B512" s="106">
        <v>322</v>
      </c>
      <c r="C512" s="87">
        <f t="shared" si="14"/>
        <v>7.7942717268193462E-3</v>
      </c>
      <c r="D512" s="106">
        <v>61253.26</v>
      </c>
      <c r="E512" s="87">
        <f t="shared" si="15"/>
        <v>6.564004942553936E-3</v>
      </c>
    </row>
    <row r="513" spans="1:5" x14ac:dyDescent="0.2">
      <c r="A513" s="105" t="s">
        <v>1044</v>
      </c>
      <c r="B513" s="106">
        <v>322</v>
      </c>
      <c r="C513" s="87">
        <f t="shared" si="14"/>
        <v>0</v>
      </c>
      <c r="D513" s="106">
        <v>60205.87</v>
      </c>
      <c r="E513" s="87">
        <f t="shared" si="15"/>
        <v>-1.7247216631462337E-2</v>
      </c>
    </row>
    <row r="514" spans="1:5" x14ac:dyDescent="0.2">
      <c r="A514" s="105" t="s">
        <v>1045</v>
      </c>
      <c r="B514" s="106">
        <v>318</v>
      </c>
      <c r="C514" s="87">
        <f t="shared" si="14"/>
        <v>-1.2500162764231604E-2</v>
      </c>
      <c r="D514" s="106">
        <v>59469</v>
      </c>
      <c r="E514" s="87">
        <f t="shared" si="15"/>
        <v>-1.2314687490613707E-2</v>
      </c>
    </row>
    <row r="515" spans="1:5" x14ac:dyDescent="0.2">
      <c r="A515" s="105" t="s">
        <v>404</v>
      </c>
      <c r="B515" s="106">
        <v>318</v>
      </c>
      <c r="C515" s="87">
        <f t="shared" si="14"/>
        <v>0</v>
      </c>
      <c r="D515" s="106">
        <v>60502.07</v>
      </c>
      <c r="E515" s="87">
        <f t="shared" si="15"/>
        <v>1.7222410951330147E-2</v>
      </c>
    </row>
    <row r="516" spans="1:5" x14ac:dyDescent="0.2">
      <c r="A516" s="105" t="s">
        <v>1046</v>
      </c>
      <c r="B516" s="106">
        <v>314</v>
      </c>
      <c r="C516" s="87">
        <f t="shared" si="14"/>
        <v>-1.2658396871923827E-2</v>
      </c>
      <c r="D516" s="106">
        <v>60181.4</v>
      </c>
      <c r="E516" s="87">
        <f t="shared" si="15"/>
        <v>-5.3142448535012932E-3</v>
      </c>
    </row>
    <row r="517" spans="1:5" x14ac:dyDescent="0.2">
      <c r="A517" s="105" t="s">
        <v>1047</v>
      </c>
      <c r="B517" s="106">
        <v>314</v>
      </c>
      <c r="C517" s="87">
        <f t="shared" ref="C517:C580" si="16">LN(B517)-LN(B516)</f>
        <v>0</v>
      </c>
      <c r="D517" s="106">
        <v>59406.03</v>
      </c>
      <c r="E517" s="87">
        <f t="shared" ref="E517:E580" si="17">LN(D517)-LN(D516)</f>
        <v>-1.2967598106211398E-2</v>
      </c>
    </row>
    <row r="518" spans="1:5" x14ac:dyDescent="0.2">
      <c r="A518" s="105" t="s">
        <v>1048</v>
      </c>
      <c r="B518" s="106">
        <v>308</v>
      </c>
      <c r="C518" s="87">
        <f t="shared" si="16"/>
        <v>-1.9293202934679066E-2</v>
      </c>
      <c r="D518" s="106">
        <v>59051.34</v>
      </c>
      <c r="E518" s="87">
        <f t="shared" si="17"/>
        <v>-5.9885013485416749E-3</v>
      </c>
    </row>
    <row r="519" spans="1:5" x14ac:dyDescent="0.2">
      <c r="A519" s="105" t="s">
        <v>1049</v>
      </c>
      <c r="B519" s="106">
        <v>308</v>
      </c>
      <c r="C519" s="87">
        <f t="shared" si="16"/>
        <v>0</v>
      </c>
      <c r="D519" s="106">
        <v>59474.66</v>
      </c>
      <c r="E519" s="87">
        <f t="shared" si="17"/>
        <v>7.1431044657384035E-3</v>
      </c>
    </row>
    <row r="520" spans="1:5" x14ac:dyDescent="0.2">
      <c r="A520" s="105" t="s">
        <v>1050</v>
      </c>
      <c r="B520" s="106">
        <v>305</v>
      </c>
      <c r="C520" s="87">
        <f t="shared" si="16"/>
        <v>-9.7880063661621719E-3</v>
      </c>
      <c r="D520" s="106">
        <v>58700.74</v>
      </c>
      <c r="E520" s="87">
        <f t="shared" si="17"/>
        <v>-1.3098006256813122E-2</v>
      </c>
    </row>
    <row r="521" spans="1:5" x14ac:dyDescent="0.2">
      <c r="A521" s="105" t="s">
        <v>1051</v>
      </c>
      <c r="B521" s="106">
        <v>308</v>
      </c>
      <c r="C521" s="87">
        <f t="shared" si="16"/>
        <v>9.7880063661621719E-3</v>
      </c>
      <c r="D521" s="106">
        <v>59514.95</v>
      </c>
      <c r="E521" s="87">
        <f t="shared" si="17"/>
        <v>1.3775208266967098E-2</v>
      </c>
    </row>
    <row r="522" spans="1:5" x14ac:dyDescent="0.2">
      <c r="A522" s="105" t="s">
        <v>1052</v>
      </c>
      <c r="B522" s="106">
        <v>314</v>
      </c>
      <c r="C522" s="87">
        <f t="shared" si="16"/>
        <v>1.9293202934679066E-2</v>
      </c>
      <c r="D522" s="106">
        <v>60242.74</v>
      </c>
      <c r="E522" s="87">
        <f t="shared" si="17"/>
        <v>1.2154525689842544E-2</v>
      </c>
    </row>
    <row r="523" spans="1:5" x14ac:dyDescent="0.2">
      <c r="A523" s="105" t="s">
        <v>1053</v>
      </c>
      <c r="B523" s="106">
        <v>310</v>
      </c>
      <c r="C523" s="87">
        <f t="shared" si="16"/>
        <v>-1.2820688429060922E-2</v>
      </c>
      <c r="D523" s="106">
        <v>60459.17</v>
      </c>
      <c r="E523" s="87">
        <f t="shared" si="17"/>
        <v>3.5861939874024529E-3</v>
      </c>
    </row>
    <row r="524" spans="1:5" x14ac:dyDescent="0.2">
      <c r="A524" s="105" t="s">
        <v>1054</v>
      </c>
      <c r="B524" s="106">
        <v>314.5</v>
      </c>
      <c r="C524" s="87">
        <f t="shared" si="16"/>
        <v>1.4411778661303387E-2</v>
      </c>
      <c r="D524" s="106">
        <v>60608.71</v>
      </c>
      <c r="E524" s="87">
        <f t="shared" si="17"/>
        <v>2.4703509477319585E-3</v>
      </c>
    </row>
    <row r="525" spans="1:5" x14ac:dyDescent="0.2">
      <c r="A525" s="105" t="s">
        <v>1055</v>
      </c>
      <c r="B525" s="106">
        <v>304</v>
      </c>
      <c r="C525" s="87">
        <f t="shared" si="16"/>
        <v>-3.3956374734273709E-2</v>
      </c>
      <c r="D525" s="106">
        <v>60584.75</v>
      </c>
      <c r="E525" s="87">
        <f t="shared" si="17"/>
        <v>-3.9540087909273325E-4</v>
      </c>
    </row>
    <row r="526" spans="1:5" x14ac:dyDescent="0.2">
      <c r="A526" s="105" t="s">
        <v>1056</v>
      </c>
      <c r="B526" s="106">
        <v>303</v>
      </c>
      <c r="C526" s="87">
        <f t="shared" si="16"/>
        <v>-3.2948958968530562E-3</v>
      </c>
      <c r="D526" s="106">
        <v>60141.79</v>
      </c>
      <c r="E526" s="87">
        <f t="shared" si="17"/>
        <v>-7.3382702393178789E-3</v>
      </c>
    </row>
    <row r="527" spans="1:5" x14ac:dyDescent="0.2">
      <c r="A527" s="105" t="s">
        <v>1057</v>
      </c>
      <c r="B527" s="106">
        <v>307</v>
      </c>
      <c r="C527" s="87">
        <f t="shared" si="16"/>
        <v>1.311494207782804E-2</v>
      </c>
      <c r="D527" s="106">
        <v>60106.84</v>
      </c>
      <c r="E527" s="87">
        <f t="shared" si="17"/>
        <v>-5.8129562031972171E-4</v>
      </c>
    </row>
    <row r="528" spans="1:5" x14ac:dyDescent="0.2">
      <c r="A528" s="105" t="s">
        <v>1058</v>
      </c>
      <c r="B528" s="106">
        <v>309.5</v>
      </c>
      <c r="C528" s="87">
        <f t="shared" si="16"/>
        <v>8.1103445374539618E-3</v>
      </c>
      <c r="D528" s="106">
        <v>60008.87</v>
      </c>
      <c r="E528" s="87">
        <f t="shared" si="17"/>
        <v>-1.631260752233743E-3</v>
      </c>
    </row>
    <row r="529" spans="1:5" x14ac:dyDescent="0.2">
      <c r="A529" s="105" t="s">
        <v>1059</v>
      </c>
      <c r="B529" s="106">
        <v>301</v>
      </c>
      <c r="C529" s="87">
        <f t="shared" si="16"/>
        <v>-2.7847827375775402E-2</v>
      </c>
      <c r="D529" s="106">
        <v>61394.17</v>
      </c>
      <c r="E529" s="87">
        <f t="shared" si="17"/>
        <v>2.2822494875722299E-2</v>
      </c>
    </row>
    <row r="530" spans="1:5" x14ac:dyDescent="0.2">
      <c r="A530" s="105" t="s">
        <v>1060</v>
      </c>
      <c r="B530" s="106">
        <v>297</v>
      </c>
      <c r="C530" s="87">
        <f t="shared" si="16"/>
        <v>-1.3378125946175601E-2</v>
      </c>
      <c r="D530" s="106">
        <v>60952.29</v>
      </c>
      <c r="E530" s="87">
        <f t="shared" si="17"/>
        <v>-7.2234525032595087E-3</v>
      </c>
    </row>
    <row r="531" spans="1:5" x14ac:dyDescent="0.2">
      <c r="A531" s="105" t="s">
        <v>1061</v>
      </c>
      <c r="B531" s="106">
        <v>295</v>
      </c>
      <c r="C531" s="87">
        <f t="shared" si="16"/>
        <v>-6.7567824628795847E-3</v>
      </c>
      <c r="D531" s="106">
        <v>60491.08</v>
      </c>
      <c r="E531" s="87">
        <f t="shared" si="17"/>
        <v>-7.5955108514129677E-3</v>
      </c>
    </row>
    <row r="532" spans="1:5" x14ac:dyDescent="0.2">
      <c r="A532" s="105" t="s">
        <v>1062</v>
      </c>
      <c r="B532" s="106">
        <v>297</v>
      </c>
      <c r="C532" s="87">
        <f t="shared" si="16"/>
        <v>6.7567824628795847E-3</v>
      </c>
      <c r="D532" s="106">
        <v>60343.17</v>
      </c>
      <c r="E532" s="87">
        <f t="shared" si="17"/>
        <v>-2.4481481678257921E-3</v>
      </c>
    </row>
    <row r="533" spans="1:5" x14ac:dyDescent="0.2">
      <c r="A533" s="105" t="s">
        <v>1063</v>
      </c>
      <c r="B533" s="106">
        <v>297</v>
      </c>
      <c r="C533" s="87">
        <f t="shared" si="16"/>
        <v>0</v>
      </c>
      <c r="D533" s="106">
        <v>61465.85</v>
      </c>
      <c r="E533" s="87">
        <f t="shared" si="17"/>
        <v>1.8433968049674121E-2</v>
      </c>
    </row>
    <row r="534" spans="1:5" x14ac:dyDescent="0.2">
      <c r="A534" s="105" t="s">
        <v>1064</v>
      </c>
      <c r="B534" s="106">
        <v>295</v>
      </c>
      <c r="C534" s="87">
        <f t="shared" si="16"/>
        <v>-6.7567824628795847E-3</v>
      </c>
      <c r="D534" s="106">
        <v>61367.64</v>
      </c>
      <c r="E534" s="87">
        <f t="shared" si="17"/>
        <v>-1.5990756417849639E-3</v>
      </c>
    </row>
    <row r="535" spans="1:5" x14ac:dyDescent="0.2">
      <c r="A535" s="105" t="s">
        <v>405</v>
      </c>
      <c r="B535" s="106">
        <v>293</v>
      </c>
      <c r="C535" s="87">
        <f t="shared" si="16"/>
        <v>-6.8027473227525448E-3</v>
      </c>
      <c r="D535" s="106">
        <v>60488.42</v>
      </c>
      <c r="E535" s="87">
        <f t="shared" si="17"/>
        <v>-1.4430718632427286E-2</v>
      </c>
    </row>
    <row r="536" spans="1:5" x14ac:dyDescent="0.2">
      <c r="A536" s="105" t="s">
        <v>1065</v>
      </c>
      <c r="B536" s="106">
        <v>290.5</v>
      </c>
      <c r="C536" s="87">
        <f t="shared" si="16"/>
        <v>-8.5690327251013443E-3</v>
      </c>
      <c r="D536" s="106">
        <v>61286.58</v>
      </c>
      <c r="E536" s="87">
        <f t="shared" si="17"/>
        <v>1.3108953889210184E-2</v>
      </c>
    </row>
    <row r="537" spans="1:5" x14ac:dyDescent="0.2">
      <c r="A537" s="105" t="s">
        <v>1066</v>
      </c>
      <c r="B537" s="106">
        <v>292.5</v>
      </c>
      <c r="C537" s="87">
        <f t="shared" si="16"/>
        <v>6.8610903799450895E-3</v>
      </c>
      <c r="D537" s="106">
        <v>60589.15</v>
      </c>
      <c r="E537" s="87">
        <f t="shared" si="17"/>
        <v>-1.1445061506176302E-2</v>
      </c>
    </row>
    <row r="538" spans="1:5" x14ac:dyDescent="0.2">
      <c r="A538" s="105" t="s">
        <v>1067</v>
      </c>
      <c r="B538" s="106">
        <v>297</v>
      </c>
      <c r="C538" s="87">
        <f t="shared" si="16"/>
        <v>1.5267472130788384E-2</v>
      </c>
      <c r="D538" s="106">
        <v>61269.7</v>
      </c>
      <c r="E538" s="87">
        <f t="shared" si="17"/>
        <v>1.1169596224320344E-2</v>
      </c>
    </row>
    <row r="539" spans="1:5" x14ac:dyDescent="0.2">
      <c r="A539" s="105" t="s">
        <v>1068</v>
      </c>
      <c r="B539" s="106">
        <v>295</v>
      </c>
      <c r="C539" s="87">
        <f t="shared" si="16"/>
        <v>-6.7567824628795847E-3</v>
      </c>
      <c r="D539" s="106">
        <v>61235.79</v>
      </c>
      <c r="E539" s="87">
        <f t="shared" si="17"/>
        <v>-5.5360785653135736E-4</v>
      </c>
    </row>
    <row r="540" spans="1:5" x14ac:dyDescent="0.2">
      <c r="A540" s="105" t="s">
        <v>1069</v>
      </c>
      <c r="B540" s="106">
        <v>291.5</v>
      </c>
      <c r="C540" s="87">
        <f t="shared" si="16"/>
        <v>-1.1935350549273416E-2</v>
      </c>
      <c r="D540" s="106">
        <v>60530.45</v>
      </c>
      <c r="E540" s="87">
        <f t="shared" si="17"/>
        <v>-1.1585278302627344E-2</v>
      </c>
    </row>
    <row r="541" spans="1:5" x14ac:dyDescent="0.2">
      <c r="A541" s="105" t="s">
        <v>1070</v>
      </c>
      <c r="B541" s="106">
        <v>295</v>
      </c>
      <c r="C541" s="87">
        <f t="shared" si="16"/>
        <v>1.1935350549273416E-2</v>
      </c>
      <c r="D541" s="106">
        <v>61500.61</v>
      </c>
      <c r="E541" s="87">
        <f t="shared" si="17"/>
        <v>1.5900549256423702E-2</v>
      </c>
    </row>
    <row r="542" spans="1:5" x14ac:dyDescent="0.2">
      <c r="A542" s="105" t="s">
        <v>1071</v>
      </c>
      <c r="B542" s="106">
        <v>295</v>
      </c>
      <c r="C542" s="87">
        <f t="shared" si="16"/>
        <v>0</v>
      </c>
      <c r="D542" s="106">
        <v>61619.86</v>
      </c>
      <c r="E542" s="87">
        <f t="shared" si="17"/>
        <v>1.937127713857123E-3</v>
      </c>
    </row>
    <row r="543" spans="1:5" x14ac:dyDescent="0.2">
      <c r="A543" s="105" t="s">
        <v>1072</v>
      </c>
      <c r="B543" s="106">
        <v>296</v>
      </c>
      <c r="C543" s="87">
        <f t="shared" si="16"/>
        <v>3.3840979842398866E-3</v>
      </c>
      <c r="D543" s="106">
        <v>60788.05</v>
      </c>
      <c r="E543" s="87">
        <f t="shared" si="17"/>
        <v>-1.3590997574544517E-2</v>
      </c>
    </row>
    <row r="544" spans="1:5" x14ac:dyDescent="0.2">
      <c r="A544" s="105" t="s">
        <v>1073</v>
      </c>
      <c r="B544" s="106">
        <v>287</v>
      </c>
      <c r="C544" s="87">
        <f t="shared" si="16"/>
        <v>-3.0877238564438692E-2</v>
      </c>
      <c r="D544" s="106">
        <v>60555.94</v>
      </c>
      <c r="E544" s="87">
        <f t="shared" si="17"/>
        <v>-3.8256576710562484E-3</v>
      </c>
    </row>
    <row r="545" spans="1:5" x14ac:dyDescent="0.2">
      <c r="A545" s="105" t="s">
        <v>1074</v>
      </c>
      <c r="B545" s="106">
        <v>290.5</v>
      </c>
      <c r="C545" s="87">
        <f t="shared" si="16"/>
        <v>1.2121360532344916E-2</v>
      </c>
      <c r="D545" s="106">
        <v>61176.97</v>
      </c>
      <c r="E545" s="87">
        <f t="shared" si="17"/>
        <v>1.0203245576693831E-2</v>
      </c>
    </row>
    <row r="546" spans="1:5" x14ac:dyDescent="0.2">
      <c r="A546" s="105" t="s">
        <v>1075</v>
      </c>
      <c r="B546" s="106">
        <v>296</v>
      </c>
      <c r="C546" s="87">
        <f t="shared" si="16"/>
        <v>1.8755878032093776E-2</v>
      </c>
      <c r="D546" s="106">
        <v>61041.14</v>
      </c>
      <c r="E546" s="87">
        <f t="shared" si="17"/>
        <v>-2.2227484277674847E-3</v>
      </c>
    </row>
    <row r="547" spans="1:5" x14ac:dyDescent="0.2">
      <c r="A547" s="105" t="s">
        <v>1076</v>
      </c>
      <c r="B547" s="106">
        <v>299</v>
      </c>
      <c r="C547" s="87">
        <f t="shared" si="16"/>
        <v>1.0084119066626762E-2</v>
      </c>
      <c r="D547" s="106">
        <v>61867.14</v>
      </c>
      <c r="E547" s="87">
        <f t="shared" si="17"/>
        <v>1.3441119437139548E-2</v>
      </c>
    </row>
    <row r="548" spans="1:5" x14ac:dyDescent="0.2">
      <c r="A548" s="105" t="s">
        <v>1077</v>
      </c>
      <c r="B548" s="106">
        <v>290</v>
      </c>
      <c r="C548" s="87">
        <f t="shared" si="16"/>
        <v>-3.0562650410167258E-2</v>
      </c>
      <c r="D548" s="106">
        <v>61565.83</v>
      </c>
      <c r="E548" s="87">
        <f t="shared" si="17"/>
        <v>-4.882173676811874E-3</v>
      </c>
    </row>
    <row r="549" spans="1:5" x14ac:dyDescent="0.2">
      <c r="A549" s="105" t="s">
        <v>1078</v>
      </c>
      <c r="B549" s="106">
        <v>293.5</v>
      </c>
      <c r="C549" s="87">
        <f t="shared" si="16"/>
        <v>1.199671628763177E-2</v>
      </c>
      <c r="D549" s="106">
        <v>61751.5</v>
      </c>
      <c r="E549" s="87">
        <f t="shared" si="17"/>
        <v>3.0112578710479454E-3</v>
      </c>
    </row>
    <row r="550" spans="1:5" x14ac:dyDescent="0.2">
      <c r="A550" s="105" t="s">
        <v>1079</v>
      </c>
      <c r="B550" s="106">
        <v>292</v>
      </c>
      <c r="C550" s="87">
        <f t="shared" si="16"/>
        <v>-5.1238369998696243E-3</v>
      </c>
      <c r="D550" s="106">
        <v>61279.519999999997</v>
      </c>
      <c r="E550" s="87">
        <f t="shared" si="17"/>
        <v>-7.6725742075414161E-3</v>
      </c>
    </row>
    <row r="551" spans="1:5" x14ac:dyDescent="0.2">
      <c r="A551" s="105" t="s">
        <v>1080</v>
      </c>
      <c r="B551" s="106">
        <v>296.5</v>
      </c>
      <c r="C551" s="87">
        <f t="shared" si="16"/>
        <v>1.5293416169498641E-2</v>
      </c>
      <c r="D551" s="106">
        <v>61967.33</v>
      </c>
      <c r="E551" s="87">
        <f t="shared" si="17"/>
        <v>1.1161618178443078E-2</v>
      </c>
    </row>
    <row r="552" spans="1:5" x14ac:dyDescent="0.2">
      <c r="A552" s="105" t="s">
        <v>1081</v>
      </c>
      <c r="B552" s="106">
        <v>301.5</v>
      </c>
      <c r="C552" s="87">
        <f t="shared" si="16"/>
        <v>1.6722797729459948E-2</v>
      </c>
      <c r="D552" s="106">
        <v>61364.58</v>
      </c>
      <c r="E552" s="87">
        <f t="shared" si="17"/>
        <v>-9.7745149482300064E-3</v>
      </c>
    </row>
    <row r="553" spans="1:5" x14ac:dyDescent="0.2">
      <c r="A553" s="105" t="s">
        <v>1082</v>
      </c>
      <c r="B553" s="106">
        <v>297</v>
      </c>
      <c r="C553" s="87">
        <f t="shared" si="16"/>
        <v>-1.5037877364540542E-2</v>
      </c>
      <c r="D553" s="106">
        <v>59854.8</v>
      </c>
      <c r="E553" s="87">
        <f t="shared" si="17"/>
        <v>-2.4911166444352872E-2</v>
      </c>
    </row>
    <row r="554" spans="1:5" x14ac:dyDescent="0.2">
      <c r="A554" s="105" t="s">
        <v>1083</v>
      </c>
      <c r="B554" s="106">
        <v>291</v>
      </c>
      <c r="C554" s="87">
        <f t="shared" si="16"/>
        <v>-2.0408871631206971E-2</v>
      </c>
      <c r="D554" s="106">
        <v>59754.400000000001</v>
      </c>
      <c r="E554" s="87">
        <f t="shared" si="17"/>
        <v>-1.6788010216668425E-3</v>
      </c>
    </row>
    <row r="555" spans="1:5" x14ac:dyDescent="0.2">
      <c r="A555" s="105" t="s">
        <v>1084</v>
      </c>
      <c r="B555" s="106">
        <v>290.5</v>
      </c>
      <c r="C555" s="87">
        <f t="shared" si="16"/>
        <v>-1.7196908795265031E-3</v>
      </c>
      <c r="D555" s="106">
        <v>58795.62</v>
      </c>
      <c r="E555" s="87">
        <f t="shared" si="17"/>
        <v>-1.6175465933519817E-2</v>
      </c>
    </row>
    <row r="556" spans="1:5" x14ac:dyDescent="0.2">
      <c r="A556" s="105" t="s">
        <v>1085</v>
      </c>
      <c r="B556" s="106">
        <v>288</v>
      </c>
      <c r="C556" s="87">
        <f t="shared" si="16"/>
        <v>-8.6430961560202135E-3</v>
      </c>
      <c r="D556" s="106">
        <v>57694</v>
      </c>
      <c r="E556" s="87">
        <f t="shared" si="17"/>
        <v>-1.89141803622217E-2</v>
      </c>
    </row>
    <row r="557" spans="1:5" x14ac:dyDescent="0.2">
      <c r="A557" s="105" t="s">
        <v>1086</v>
      </c>
      <c r="B557" s="106">
        <v>298</v>
      </c>
      <c r="C557" s="87">
        <f t="shared" si="16"/>
        <v>3.4133006369458485E-2</v>
      </c>
      <c r="D557" s="106">
        <v>57462.68</v>
      </c>
      <c r="E557" s="87">
        <f t="shared" si="17"/>
        <v>-4.0174883667951633E-3</v>
      </c>
    </row>
    <row r="558" spans="1:5" x14ac:dyDescent="0.2">
      <c r="A558" s="105" t="s">
        <v>1087</v>
      </c>
      <c r="B558" s="106">
        <v>291</v>
      </c>
      <c r="C558" s="87">
        <f t="shared" si="16"/>
        <v>-2.3770219333911768E-2</v>
      </c>
      <c r="D558" s="106">
        <v>57637.95</v>
      </c>
      <c r="E558" s="87">
        <f t="shared" si="17"/>
        <v>3.0455113142497936E-3</v>
      </c>
    </row>
    <row r="559" spans="1:5" x14ac:dyDescent="0.2">
      <c r="A559" s="105" t="s">
        <v>1088</v>
      </c>
      <c r="B559" s="106">
        <v>285</v>
      </c>
      <c r="C559" s="87">
        <f t="shared" si="16"/>
        <v>-2.0834086902842053E-2</v>
      </c>
      <c r="D559" s="106">
        <v>56641.19</v>
      </c>
      <c r="E559" s="87">
        <f t="shared" si="17"/>
        <v>-1.7444745867628342E-2</v>
      </c>
    </row>
    <row r="560" spans="1:5" x14ac:dyDescent="0.2">
      <c r="A560" s="105" t="s">
        <v>1089</v>
      </c>
      <c r="B560" s="106">
        <v>285.5</v>
      </c>
      <c r="C560" s="87">
        <f t="shared" si="16"/>
        <v>1.7528488274143328E-3</v>
      </c>
      <c r="D560" s="106">
        <v>56574.46</v>
      </c>
      <c r="E560" s="87">
        <f t="shared" si="17"/>
        <v>-1.1788124296820968E-3</v>
      </c>
    </row>
    <row r="561" spans="1:5" x14ac:dyDescent="0.2">
      <c r="A561" s="105" t="s">
        <v>1090</v>
      </c>
      <c r="B561" s="106">
        <v>274.5</v>
      </c>
      <c r="C561" s="87">
        <f t="shared" si="16"/>
        <v>-3.9290768146480026E-2</v>
      </c>
      <c r="D561" s="106">
        <v>57039.91</v>
      </c>
      <c r="E561" s="87">
        <f t="shared" si="17"/>
        <v>8.1935516426003829E-3</v>
      </c>
    </row>
    <row r="562" spans="1:5" x14ac:dyDescent="0.2">
      <c r="A562" s="105" t="s">
        <v>1091</v>
      </c>
      <c r="B562" s="106">
        <v>277.5</v>
      </c>
      <c r="C562" s="87">
        <f t="shared" si="16"/>
        <v>1.0869672236903938E-2</v>
      </c>
      <c r="D562" s="106">
        <v>57088.69</v>
      </c>
      <c r="E562" s="87">
        <f t="shared" si="17"/>
        <v>8.5482522295698971E-4</v>
      </c>
    </row>
    <row r="563" spans="1:5" x14ac:dyDescent="0.2">
      <c r="A563" s="105" t="s">
        <v>1092</v>
      </c>
      <c r="B563" s="106">
        <v>283.5</v>
      </c>
      <c r="C563" s="87">
        <f t="shared" si="16"/>
        <v>2.1391189981318171E-2</v>
      </c>
      <c r="D563" s="106">
        <v>57291.89</v>
      </c>
      <c r="E563" s="87">
        <f t="shared" si="17"/>
        <v>3.5530544393065355E-3</v>
      </c>
    </row>
    <row r="564" spans="1:5" x14ac:dyDescent="0.2">
      <c r="A564" s="105" t="s">
        <v>1093</v>
      </c>
      <c r="B564" s="106">
        <v>282</v>
      </c>
      <c r="C564" s="87">
        <f t="shared" si="16"/>
        <v>-5.3050522296933522E-3</v>
      </c>
      <c r="D564" s="106">
        <v>56656.26</v>
      </c>
      <c r="E564" s="87">
        <f t="shared" si="17"/>
        <v>-1.1156593468804488E-2</v>
      </c>
    </row>
    <row r="565" spans="1:5" x14ac:dyDescent="0.2">
      <c r="A565" s="105" t="s">
        <v>1094</v>
      </c>
      <c r="B565" s="106">
        <v>277</v>
      </c>
      <c r="C565" s="87">
        <f t="shared" si="16"/>
        <v>-1.78895647507753E-2</v>
      </c>
      <c r="D565" s="106">
        <v>56118.16</v>
      </c>
      <c r="E565" s="87">
        <f t="shared" si="17"/>
        <v>-9.5430166466297095E-3</v>
      </c>
    </row>
    <row r="566" spans="1:5" x14ac:dyDescent="0.2">
      <c r="A566" s="105" t="s">
        <v>1095</v>
      </c>
      <c r="B566" s="106">
        <v>277</v>
      </c>
      <c r="C566" s="87">
        <f t="shared" si="16"/>
        <v>0</v>
      </c>
      <c r="D566" s="106">
        <v>56032.12</v>
      </c>
      <c r="E566" s="87">
        <f t="shared" si="17"/>
        <v>-1.5343700770120705E-3</v>
      </c>
    </row>
    <row r="567" spans="1:5" x14ac:dyDescent="0.2">
      <c r="A567" s="105" t="s">
        <v>1096</v>
      </c>
      <c r="B567" s="106">
        <v>278</v>
      </c>
      <c r="C567" s="87">
        <f t="shared" si="16"/>
        <v>3.6036075032983561E-3</v>
      </c>
      <c r="D567" s="106">
        <v>56450.559999999998</v>
      </c>
      <c r="E567" s="87">
        <f t="shared" si="17"/>
        <v>7.4401130954022676E-3</v>
      </c>
    </row>
    <row r="568" spans="1:5" x14ac:dyDescent="0.2">
      <c r="A568" s="105" t="s">
        <v>1097</v>
      </c>
      <c r="B568" s="106">
        <v>282</v>
      </c>
      <c r="C568" s="87">
        <f t="shared" si="16"/>
        <v>1.4285957247476944E-2</v>
      </c>
      <c r="D568" s="106">
        <v>57447.38</v>
      </c>
      <c r="E568" s="87">
        <f t="shared" si="17"/>
        <v>1.7504187551125483E-2</v>
      </c>
    </row>
    <row r="569" spans="1:5" x14ac:dyDescent="0.2">
      <c r="A569" s="105" t="s">
        <v>1098</v>
      </c>
      <c r="B569" s="106">
        <v>281.5</v>
      </c>
      <c r="C569" s="87">
        <f t="shared" si="16"/>
        <v>-1.7746233583686433E-3</v>
      </c>
      <c r="D569" s="106">
        <v>57362.879999999997</v>
      </c>
      <c r="E569" s="87">
        <f t="shared" si="17"/>
        <v>-1.4719941450813678E-3</v>
      </c>
    </row>
    <row r="570" spans="1:5" x14ac:dyDescent="0.2">
      <c r="A570" s="105" t="s">
        <v>1099</v>
      </c>
      <c r="B570" s="106">
        <v>281</v>
      </c>
      <c r="C570" s="87">
        <f t="shared" si="16"/>
        <v>-1.7777782459997837E-3</v>
      </c>
      <c r="D570" s="106">
        <v>56515.01</v>
      </c>
      <c r="E570" s="87">
        <f t="shared" si="17"/>
        <v>-1.4891137649094333E-2</v>
      </c>
    </row>
    <row r="571" spans="1:5" x14ac:dyDescent="0.2">
      <c r="A571" s="105" t="s">
        <v>1100</v>
      </c>
      <c r="B571" s="106">
        <v>282</v>
      </c>
      <c r="C571" s="87">
        <f t="shared" si="16"/>
        <v>3.552401604368427E-3</v>
      </c>
      <c r="D571" s="106">
        <v>55836.35</v>
      </c>
      <c r="E571" s="87">
        <f t="shared" si="17"/>
        <v>-1.208117559865407E-2</v>
      </c>
    </row>
    <row r="572" spans="1:5" x14ac:dyDescent="0.2">
      <c r="A572" s="105" t="s">
        <v>1101</v>
      </c>
      <c r="B572" s="106">
        <v>277.5</v>
      </c>
      <c r="C572" s="87">
        <f t="shared" si="16"/>
        <v>-1.6086137751624818E-2</v>
      </c>
      <c r="D572" s="106">
        <v>55717.43</v>
      </c>
      <c r="E572" s="87">
        <f t="shared" si="17"/>
        <v>-2.132066614828787E-3</v>
      </c>
    </row>
    <row r="573" spans="1:5" x14ac:dyDescent="0.2">
      <c r="A573" s="105" t="s">
        <v>1102</v>
      </c>
      <c r="B573" s="106">
        <v>281.5</v>
      </c>
      <c r="C573" s="87">
        <f t="shared" si="16"/>
        <v>1.4311514393256175E-2</v>
      </c>
      <c r="D573" s="106">
        <v>55983.89</v>
      </c>
      <c r="E573" s="87">
        <f t="shared" si="17"/>
        <v>4.770946402933518E-3</v>
      </c>
    </row>
    <row r="574" spans="1:5" x14ac:dyDescent="0.2">
      <c r="A574" s="105" t="s">
        <v>1103</v>
      </c>
      <c r="B574" s="106">
        <v>280</v>
      </c>
      <c r="C574" s="87">
        <f t="shared" si="16"/>
        <v>-5.3428444104959283E-3</v>
      </c>
      <c r="D574" s="106">
        <v>55908.34</v>
      </c>
      <c r="E574" s="87">
        <f t="shared" si="17"/>
        <v>-1.3504067526604047E-3</v>
      </c>
    </row>
    <row r="575" spans="1:5" x14ac:dyDescent="0.2">
      <c r="A575" s="105" t="s">
        <v>1104</v>
      </c>
      <c r="B575" s="106">
        <v>281</v>
      </c>
      <c r="C575" s="87">
        <f t="shared" si="16"/>
        <v>3.5650661644961446E-3</v>
      </c>
      <c r="D575" s="106">
        <v>56478.83</v>
      </c>
      <c r="E575" s="87">
        <f t="shared" si="17"/>
        <v>1.0152313649328448E-2</v>
      </c>
    </row>
    <row r="576" spans="1:5" x14ac:dyDescent="0.2">
      <c r="A576" s="105" t="s">
        <v>1105</v>
      </c>
      <c r="B576" s="106">
        <v>285</v>
      </c>
      <c r="C576" s="87">
        <f t="shared" si="16"/>
        <v>1.4134510934905364E-2</v>
      </c>
      <c r="D576" s="106">
        <v>56207.29</v>
      </c>
      <c r="E576" s="87">
        <f t="shared" si="17"/>
        <v>-4.8194138831370026E-3</v>
      </c>
    </row>
    <row r="577" spans="1:5" x14ac:dyDescent="0.2">
      <c r="A577" s="105" t="s">
        <v>407</v>
      </c>
      <c r="B577" s="106">
        <v>278</v>
      </c>
      <c r="C577" s="87">
        <f t="shared" si="16"/>
        <v>-2.4868066578013881E-2</v>
      </c>
      <c r="D577" s="106">
        <v>56867.54</v>
      </c>
      <c r="E577" s="87">
        <f t="shared" si="17"/>
        <v>1.1678240043256238E-2</v>
      </c>
    </row>
    <row r="578" spans="1:5" x14ac:dyDescent="0.2">
      <c r="A578" s="105" t="s">
        <v>1106</v>
      </c>
      <c r="B578" s="106">
        <v>279.5</v>
      </c>
      <c r="C578" s="87">
        <f t="shared" si="16"/>
        <v>5.3811789045168368E-3</v>
      </c>
      <c r="D578" s="106">
        <v>56058.18</v>
      </c>
      <c r="E578" s="87">
        <f t="shared" si="17"/>
        <v>-1.4334623839294736E-2</v>
      </c>
    </row>
    <row r="579" spans="1:5" x14ac:dyDescent="0.2">
      <c r="A579" s="105" t="s">
        <v>1107</v>
      </c>
      <c r="B579" s="106">
        <v>278.5</v>
      </c>
      <c r="C579" s="87">
        <f t="shared" si="16"/>
        <v>-3.5842332278148703E-3</v>
      </c>
      <c r="D579" s="106">
        <v>55942.67</v>
      </c>
      <c r="E579" s="87">
        <f t="shared" si="17"/>
        <v>-2.0626636486049676E-3</v>
      </c>
    </row>
    <row r="580" spans="1:5" x14ac:dyDescent="0.2">
      <c r="A580" s="105" t="s">
        <v>1108</v>
      </c>
      <c r="B580" s="106">
        <v>280</v>
      </c>
      <c r="C580" s="87">
        <f t="shared" si="16"/>
        <v>5.3715438019104056E-3</v>
      </c>
      <c r="D580" s="106">
        <v>55748.47</v>
      </c>
      <c r="E580" s="87">
        <f t="shared" si="17"/>
        <v>-3.47745032774327E-3</v>
      </c>
    </row>
    <row r="581" spans="1:5" x14ac:dyDescent="0.2">
      <c r="A581" s="105" t="s">
        <v>1109</v>
      </c>
      <c r="B581" s="106">
        <v>278.5</v>
      </c>
      <c r="C581" s="87">
        <f t="shared" ref="C581:C644" si="18">LN(B581)-LN(B580)</f>
        <v>-5.3715438019104056E-3</v>
      </c>
      <c r="D581" s="106">
        <v>56280.53</v>
      </c>
      <c r="E581" s="87">
        <f t="shared" ref="E581:E644" si="19">LN(D581)-LN(D580)</f>
        <v>9.4986833841144147E-3</v>
      </c>
    </row>
    <row r="582" spans="1:5" x14ac:dyDescent="0.2">
      <c r="A582" s="105" t="s">
        <v>1110</v>
      </c>
      <c r="B582" s="106">
        <v>284.5</v>
      </c>
      <c r="C582" s="87">
        <f t="shared" si="18"/>
        <v>2.1315194199046594E-2</v>
      </c>
      <c r="D582" s="106">
        <v>56107.93</v>
      </c>
      <c r="E582" s="87">
        <f t="shared" si="19"/>
        <v>-3.0714921388401706E-3</v>
      </c>
    </row>
    <row r="583" spans="1:5" x14ac:dyDescent="0.2">
      <c r="A583" s="105" t="s">
        <v>1111</v>
      </c>
      <c r="B583" s="106">
        <v>278</v>
      </c>
      <c r="C583" s="87">
        <f t="shared" si="18"/>
        <v>-2.3112139875748561E-2</v>
      </c>
      <c r="D583" s="106">
        <v>55119.040000000001</v>
      </c>
      <c r="E583" s="87">
        <f t="shared" si="19"/>
        <v>-1.7781947254706054E-2</v>
      </c>
    </row>
    <row r="584" spans="1:5" x14ac:dyDescent="0.2">
      <c r="A584" s="105" t="s">
        <v>1112</v>
      </c>
      <c r="B584" s="106">
        <v>281</v>
      </c>
      <c r="C584" s="87">
        <f t="shared" si="18"/>
        <v>1.0733555643108517E-2</v>
      </c>
      <c r="D584" s="106">
        <v>55166.92</v>
      </c>
      <c r="E584" s="87">
        <f t="shared" si="19"/>
        <v>8.682882754644794E-4</v>
      </c>
    </row>
    <row r="585" spans="1:5" x14ac:dyDescent="0.2">
      <c r="A585" s="105" t="s">
        <v>1113</v>
      </c>
      <c r="B585" s="106">
        <v>278</v>
      </c>
      <c r="C585" s="87">
        <f t="shared" si="18"/>
        <v>-1.0733555643108517E-2</v>
      </c>
      <c r="D585" s="106">
        <v>54259.77</v>
      </c>
      <c r="E585" s="87">
        <f t="shared" si="19"/>
        <v>-1.6580429911659422E-2</v>
      </c>
    </row>
    <row r="586" spans="1:5" x14ac:dyDescent="0.2">
      <c r="A586" s="105" t="s">
        <v>1114</v>
      </c>
      <c r="B586" s="106">
        <v>280</v>
      </c>
      <c r="C586" s="87">
        <f t="shared" si="18"/>
        <v>7.1684894786123721E-3</v>
      </c>
      <c r="D586" s="106">
        <v>54891.25</v>
      </c>
      <c r="E586" s="87">
        <f t="shared" si="19"/>
        <v>1.1570886749044718E-2</v>
      </c>
    </row>
    <row r="587" spans="1:5" x14ac:dyDescent="0.2">
      <c r="A587" s="105" t="s">
        <v>1115</v>
      </c>
      <c r="B587" s="106">
        <v>278.5</v>
      </c>
      <c r="C587" s="87">
        <f t="shared" si="18"/>
        <v>-5.3715438019104056E-3</v>
      </c>
      <c r="D587" s="106">
        <v>54791.43</v>
      </c>
      <c r="E587" s="87">
        <f t="shared" si="19"/>
        <v>-1.820160257908654E-3</v>
      </c>
    </row>
    <row r="588" spans="1:5" x14ac:dyDescent="0.2">
      <c r="A588" s="105" t="s">
        <v>1116</v>
      </c>
      <c r="B588" s="106">
        <v>282</v>
      </c>
      <c r="C588" s="87">
        <f t="shared" si="18"/>
        <v>1.2489011570774977E-2</v>
      </c>
      <c r="D588" s="106">
        <v>55612.11</v>
      </c>
      <c r="E588" s="87">
        <f t="shared" si="19"/>
        <v>1.4867188432745593E-2</v>
      </c>
    </row>
    <row r="589" spans="1:5" x14ac:dyDescent="0.2">
      <c r="A589" s="105" t="s">
        <v>1117</v>
      </c>
      <c r="B589" s="106">
        <v>281</v>
      </c>
      <c r="C589" s="87">
        <f t="shared" si="18"/>
        <v>-3.552401604368427E-3</v>
      </c>
      <c r="D589" s="106">
        <v>56385.919999999998</v>
      </c>
      <c r="E589" s="87">
        <f t="shared" si="19"/>
        <v>1.3818498651643196E-2</v>
      </c>
    </row>
    <row r="590" spans="1:5" x14ac:dyDescent="0.2">
      <c r="A590" s="105" t="s">
        <v>1118</v>
      </c>
      <c r="B590" s="106">
        <v>284</v>
      </c>
      <c r="C590" s="87">
        <f t="shared" si="18"/>
        <v>1.0619568827460846E-2</v>
      </c>
      <c r="D590" s="106">
        <v>55812.08</v>
      </c>
      <c r="E590" s="87">
        <f t="shared" si="19"/>
        <v>-1.0229148534911303E-2</v>
      </c>
    </row>
    <row r="591" spans="1:5" x14ac:dyDescent="0.2">
      <c r="A591" s="105" t="s">
        <v>1119</v>
      </c>
      <c r="B591" s="106">
        <v>285</v>
      </c>
      <c r="C591" s="87">
        <f t="shared" si="18"/>
        <v>3.5149421074445186E-3</v>
      </c>
      <c r="D591" s="106">
        <v>54421.13</v>
      </c>
      <c r="E591" s="87">
        <f t="shared" si="19"/>
        <v>-2.5237835848066936E-2</v>
      </c>
    </row>
    <row r="592" spans="1:5" x14ac:dyDescent="0.2">
      <c r="A592" s="105" t="s">
        <v>1120</v>
      </c>
      <c r="B592" s="106">
        <v>282.5</v>
      </c>
      <c r="C592" s="87">
        <f t="shared" si="18"/>
        <v>-8.8106296821548469E-3</v>
      </c>
      <c r="D592" s="106">
        <v>53294.45</v>
      </c>
      <c r="E592" s="87">
        <f t="shared" si="19"/>
        <v>-2.0920299393958786E-2</v>
      </c>
    </row>
    <row r="593" spans="1:5" x14ac:dyDescent="0.2">
      <c r="A593" s="105" t="s">
        <v>1121</v>
      </c>
      <c r="B593" s="106">
        <v>281</v>
      </c>
      <c r="C593" s="87">
        <f t="shared" si="18"/>
        <v>-5.3238812527505175E-3</v>
      </c>
      <c r="D593" s="106">
        <v>53324.24</v>
      </c>
      <c r="E593" s="87">
        <f t="shared" si="19"/>
        <v>5.5881385853062682E-4</v>
      </c>
    </row>
    <row r="594" spans="1:5" x14ac:dyDescent="0.2">
      <c r="A594" s="105" t="s">
        <v>1122</v>
      </c>
      <c r="B594" s="106">
        <v>304.5</v>
      </c>
      <c r="C594" s="87">
        <f t="shared" si="18"/>
        <v>8.0316417816206354E-2</v>
      </c>
      <c r="D594" s="106">
        <v>52682.32</v>
      </c>
      <c r="E594" s="87">
        <f t="shared" si="19"/>
        <v>-1.2111096639893404E-2</v>
      </c>
    </row>
    <row r="595" spans="1:5" x14ac:dyDescent="0.2">
      <c r="A595" s="105" t="s">
        <v>1123</v>
      </c>
      <c r="B595" s="106">
        <v>305</v>
      </c>
      <c r="C595" s="87">
        <f t="shared" si="18"/>
        <v>1.6406894574600983E-3</v>
      </c>
      <c r="D595" s="106">
        <v>52300.2</v>
      </c>
      <c r="E595" s="87">
        <f t="shared" si="19"/>
        <v>-7.2797202337024913E-3</v>
      </c>
    </row>
    <row r="596" spans="1:5" x14ac:dyDescent="0.2">
      <c r="A596" s="105" t="s">
        <v>1124</v>
      </c>
      <c r="B596" s="106">
        <v>289.5</v>
      </c>
      <c r="C596" s="87">
        <f t="shared" si="18"/>
        <v>-5.2156479594361649E-2</v>
      </c>
      <c r="D596" s="106">
        <v>50915.87</v>
      </c>
      <c r="E596" s="87">
        <f t="shared" si="19"/>
        <v>-2.6825532375333694E-2</v>
      </c>
    </row>
    <row r="597" spans="1:5" x14ac:dyDescent="0.2">
      <c r="A597" s="105" t="s">
        <v>1125</v>
      </c>
      <c r="B597" s="106">
        <v>287</v>
      </c>
      <c r="C597" s="87">
        <f t="shared" si="18"/>
        <v>-8.6730812534288049E-3</v>
      </c>
      <c r="D597" s="106">
        <v>51334.82</v>
      </c>
      <c r="E597" s="87">
        <f t="shared" si="19"/>
        <v>8.1946115851074808E-3</v>
      </c>
    </row>
    <row r="598" spans="1:5" x14ac:dyDescent="0.2">
      <c r="A598" s="105" t="s">
        <v>1126</v>
      </c>
      <c r="B598" s="106">
        <v>286</v>
      </c>
      <c r="C598" s="87">
        <f t="shared" si="18"/>
        <v>-3.4904049397690429E-3</v>
      </c>
      <c r="D598" s="106">
        <v>50432.55</v>
      </c>
      <c r="E598" s="87">
        <f t="shared" si="19"/>
        <v>-1.7732474415058874E-2</v>
      </c>
    </row>
    <row r="599" spans="1:5" x14ac:dyDescent="0.2">
      <c r="A599" s="105" t="s">
        <v>1127</v>
      </c>
      <c r="B599" s="106">
        <v>291</v>
      </c>
      <c r="C599" s="87">
        <f t="shared" si="18"/>
        <v>1.7331456351640462E-2</v>
      </c>
      <c r="D599" s="106">
        <v>49547.35</v>
      </c>
      <c r="E599" s="87">
        <f t="shared" si="19"/>
        <v>-1.7708021936226004E-2</v>
      </c>
    </row>
    <row r="600" spans="1:5" x14ac:dyDescent="0.2">
      <c r="A600" s="105" t="s">
        <v>1128</v>
      </c>
      <c r="B600" s="106">
        <v>290</v>
      </c>
      <c r="C600" s="87">
        <f t="shared" si="18"/>
        <v>-3.4423441909732233E-3</v>
      </c>
      <c r="D600" s="106">
        <v>49437.4</v>
      </c>
      <c r="E600" s="87">
        <f t="shared" si="19"/>
        <v>-2.2215552440094655E-3</v>
      </c>
    </row>
    <row r="601" spans="1:5" x14ac:dyDescent="0.2">
      <c r="A601" s="105" t="s">
        <v>1129</v>
      </c>
      <c r="B601" s="106">
        <v>293.5</v>
      </c>
      <c r="C601" s="87">
        <f t="shared" si="18"/>
        <v>1.199671628763177E-2</v>
      </c>
      <c r="D601" s="106">
        <v>48934.47</v>
      </c>
      <c r="E601" s="87">
        <f t="shared" si="19"/>
        <v>-1.0225166644469041E-2</v>
      </c>
    </row>
    <row r="602" spans="1:5" x14ac:dyDescent="0.2">
      <c r="A602" s="105" t="s">
        <v>1130</v>
      </c>
      <c r="B602" s="106">
        <v>292</v>
      </c>
      <c r="C602" s="87">
        <f t="shared" si="18"/>
        <v>-5.1238369998696243E-3</v>
      </c>
      <c r="D602" s="106">
        <v>47700.34</v>
      </c>
      <c r="E602" s="87">
        <f t="shared" si="19"/>
        <v>-2.5543530373861145E-2</v>
      </c>
    </row>
    <row r="603" spans="1:5" x14ac:dyDescent="0.2">
      <c r="A603" s="105" t="s">
        <v>1131</v>
      </c>
      <c r="B603" s="106">
        <v>296.5</v>
      </c>
      <c r="C603" s="87">
        <f t="shared" si="18"/>
        <v>1.5293416169498641E-2</v>
      </c>
      <c r="D603" s="106">
        <v>47370.66</v>
      </c>
      <c r="E603" s="87">
        <f t="shared" si="19"/>
        <v>-6.9354760439885865E-3</v>
      </c>
    </row>
    <row r="604" spans="1:5" x14ac:dyDescent="0.2">
      <c r="A604" s="105" t="s">
        <v>1132</v>
      </c>
      <c r="B604" s="106">
        <v>290</v>
      </c>
      <c r="C604" s="87">
        <f t="shared" si="18"/>
        <v>-2.2166295457260787E-2</v>
      </c>
      <c r="D604" s="106">
        <v>46768.23</v>
      </c>
      <c r="E604" s="87">
        <f t="shared" si="19"/>
        <v>-1.2798923458129607E-2</v>
      </c>
    </row>
    <row r="605" spans="1:5" x14ac:dyDescent="0.2">
      <c r="A605" s="105" t="s">
        <v>1133</v>
      </c>
      <c r="B605" s="106">
        <v>291.5</v>
      </c>
      <c r="C605" s="87">
        <f t="shared" si="18"/>
        <v>5.1590828100271935E-3</v>
      </c>
      <c r="D605" s="106">
        <v>47283.29</v>
      </c>
      <c r="E605" s="87">
        <f t="shared" si="19"/>
        <v>1.0952829875906289E-2</v>
      </c>
    </row>
    <row r="606" spans="1:5" x14ac:dyDescent="0.2">
      <c r="A606" s="105" t="s">
        <v>1134</v>
      </c>
      <c r="B606" s="106">
        <v>294.5</v>
      </c>
      <c r="C606" s="87">
        <f t="shared" si="18"/>
        <v>1.0238997301094344E-2</v>
      </c>
      <c r="D606" s="106">
        <v>46509.19</v>
      </c>
      <c r="E606" s="87">
        <f t="shared" si="19"/>
        <v>-1.6507028650474709E-2</v>
      </c>
    </row>
    <row r="607" spans="1:5" x14ac:dyDescent="0.2">
      <c r="A607" s="105" t="s">
        <v>1135</v>
      </c>
      <c r="B607" s="106">
        <v>293</v>
      </c>
      <c r="C607" s="87">
        <f t="shared" si="18"/>
        <v>-5.1063940745734726E-3</v>
      </c>
      <c r="D607" s="106">
        <v>47349.71</v>
      </c>
      <c r="E607" s="87">
        <f t="shared" si="19"/>
        <v>1.7910767534512928E-2</v>
      </c>
    </row>
    <row r="608" spans="1:5" x14ac:dyDescent="0.2">
      <c r="A608" s="105" t="s">
        <v>1136</v>
      </c>
      <c r="B608" s="106">
        <v>300</v>
      </c>
      <c r="C608" s="87">
        <f t="shared" si="18"/>
        <v>2.3609865639133254E-2</v>
      </c>
      <c r="D608" s="106">
        <v>47009.07</v>
      </c>
      <c r="E608" s="87">
        <f t="shared" si="19"/>
        <v>-7.2201331938543944E-3</v>
      </c>
    </row>
    <row r="609" spans="1:5" x14ac:dyDescent="0.2">
      <c r="A609" s="105" t="s">
        <v>1137</v>
      </c>
      <c r="B609" s="106">
        <v>305</v>
      </c>
      <c r="C609" s="87">
        <f t="shared" si="18"/>
        <v>1.652930195121094E-2</v>
      </c>
      <c r="D609" s="106">
        <v>46570.39</v>
      </c>
      <c r="E609" s="87">
        <f t="shared" si="19"/>
        <v>-9.3756303662289042E-3</v>
      </c>
    </row>
    <row r="610" spans="1:5" x14ac:dyDescent="0.2">
      <c r="A610" s="105" t="s">
        <v>1138</v>
      </c>
      <c r="B610" s="106">
        <v>300</v>
      </c>
      <c r="C610" s="87">
        <f t="shared" si="18"/>
        <v>-1.652930195121094E-2</v>
      </c>
      <c r="D610" s="106">
        <v>45621.39</v>
      </c>
      <c r="E610" s="87">
        <f t="shared" si="19"/>
        <v>-2.0588245964663798E-2</v>
      </c>
    </row>
    <row r="611" spans="1:5" x14ac:dyDescent="0.2">
      <c r="A611" s="105" t="s">
        <v>1139</v>
      </c>
      <c r="B611" s="106">
        <v>293.5</v>
      </c>
      <c r="C611" s="87">
        <f t="shared" si="18"/>
        <v>-2.1904835388049548E-2</v>
      </c>
      <c r="D611" s="106">
        <v>46071.33</v>
      </c>
      <c r="E611" s="87">
        <f t="shared" si="19"/>
        <v>9.8141621587704009E-3</v>
      </c>
    </row>
    <row r="612" spans="1:5" x14ac:dyDescent="0.2">
      <c r="A612" s="105" t="s">
        <v>1140</v>
      </c>
      <c r="B612" s="106">
        <v>295</v>
      </c>
      <c r="C612" s="87">
        <f t="shared" si="18"/>
        <v>5.0977170716688391E-3</v>
      </c>
      <c r="D612" s="106">
        <v>46217.66</v>
      </c>
      <c r="E612" s="87">
        <f t="shared" si="19"/>
        <v>3.1711284872706358E-3</v>
      </c>
    </row>
    <row r="613" spans="1:5" x14ac:dyDescent="0.2">
      <c r="A613" s="105" t="s">
        <v>1141</v>
      </c>
      <c r="B613" s="106">
        <v>300</v>
      </c>
      <c r="C613" s="87">
        <f t="shared" si="18"/>
        <v>1.6807118316380709E-2</v>
      </c>
      <c r="D613" s="106">
        <v>46086.400000000001</v>
      </c>
      <c r="E613" s="87">
        <f t="shared" si="19"/>
        <v>-2.8440804982565737E-3</v>
      </c>
    </row>
    <row r="614" spans="1:5" x14ac:dyDescent="0.2">
      <c r="A614" s="105" t="s">
        <v>1142</v>
      </c>
      <c r="B614" s="106">
        <v>300</v>
      </c>
      <c r="C614" s="87">
        <f t="shared" si="18"/>
        <v>0</v>
      </c>
      <c r="D614" s="106">
        <v>46911.05</v>
      </c>
      <c r="E614" s="87">
        <f t="shared" si="19"/>
        <v>1.7735359744653678E-2</v>
      </c>
    </row>
    <row r="615" spans="1:5" x14ac:dyDescent="0.2">
      <c r="A615" s="105" t="s">
        <v>1143</v>
      </c>
      <c r="B615" s="106">
        <v>308.5</v>
      </c>
      <c r="C615" s="87">
        <f t="shared" si="18"/>
        <v>2.7939368689241739E-2</v>
      </c>
      <c r="D615" s="106">
        <v>47299.55</v>
      </c>
      <c r="E615" s="87">
        <f t="shared" si="19"/>
        <v>8.2475263335499704E-3</v>
      </c>
    </row>
    <row r="616" spans="1:5" x14ac:dyDescent="0.2">
      <c r="A616" s="105" t="s">
        <v>1144</v>
      </c>
      <c r="B616" s="106">
        <v>300.5</v>
      </c>
      <c r="C616" s="87">
        <f t="shared" si="18"/>
        <v>-2.6274089370180498E-2</v>
      </c>
      <c r="D616" s="106">
        <v>47160.97</v>
      </c>
      <c r="E616" s="87">
        <f t="shared" si="19"/>
        <v>-2.9341379747123142E-3</v>
      </c>
    </row>
    <row r="617" spans="1:5" x14ac:dyDescent="0.2">
      <c r="A617" s="105" t="s">
        <v>1145</v>
      </c>
      <c r="B617" s="106">
        <v>300.5</v>
      </c>
      <c r="C617" s="87">
        <f t="shared" si="18"/>
        <v>0</v>
      </c>
      <c r="D617" s="106">
        <v>48070.03</v>
      </c>
      <c r="E617" s="87">
        <f t="shared" si="19"/>
        <v>1.9092262259695403E-2</v>
      </c>
    </row>
    <row r="618" spans="1:5" x14ac:dyDescent="0.2">
      <c r="A618" s="105" t="s">
        <v>1146</v>
      </c>
      <c r="B618" s="106">
        <v>301</v>
      </c>
      <c r="C618" s="87">
        <f t="shared" si="18"/>
        <v>1.662510773613235E-3</v>
      </c>
      <c r="D618" s="106">
        <v>46312.480000000003</v>
      </c>
      <c r="E618" s="87">
        <f t="shared" si="19"/>
        <v>-3.7247434788183043E-2</v>
      </c>
    </row>
    <row r="619" spans="1:5" x14ac:dyDescent="0.2">
      <c r="A619" s="105" t="s">
        <v>1147</v>
      </c>
      <c r="B619" s="106">
        <v>301</v>
      </c>
      <c r="C619" s="87">
        <f t="shared" si="18"/>
        <v>0</v>
      </c>
      <c r="D619" s="106">
        <v>45970.64</v>
      </c>
      <c r="E619" s="87">
        <f t="shared" si="19"/>
        <v>-7.4085393630110019E-3</v>
      </c>
    </row>
    <row r="620" spans="1:5" x14ac:dyDescent="0.2">
      <c r="A620" s="105" t="s">
        <v>1148</v>
      </c>
      <c r="B620" s="106">
        <v>302</v>
      </c>
      <c r="C620" s="87">
        <f t="shared" si="18"/>
        <v>3.3167526259942903E-3</v>
      </c>
      <c r="D620" s="106">
        <v>45864.62</v>
      </c>
      <c r="E620" s="87">
        <f t="shared" si="19"/>
        <v>-2.3089181018338678E-3</v>
      </c>
    </row>
    <row r="621" spans="1:5" x14ac:dyDescent="0.2">
      <c r="A621" s="105" t="s">
        <v>1149</v>
      </c>
      <c r="B621" s="106">
        <v>305.5</v>
      </c>
      <c r="C621" s="87">
        <f t="shared" si="18"/>
        <v>1.1522761236780532E-2</v>
      </c>
      <c r="D621" s="106">
        <v>47468.26</v>
      </c>
      <c r="E621" s="87">
        <f t="shared" si="19"/>
        <v>3.4367263419607497E-2</v>
      </c>
    </row>
    <row r="622" spans="1:5" x14ac:dyDescent="0.2">
      <c r="A622" s="105" t="s">
        <v>1150</v>
      </c>
      <c r="B622" s="106">
        <v>307</v>
      </c>
      <c r="C622" s="87">
        <f t="shared" si="18"/>
        <v>4.8979689755466183E-3</v>
      </c>
      <c r="D622" s="106">
        <v>47859.82</v>
      </c>
      <c r="E622" s="87">
        <f t="shared" si="19"/>
        <v>8.2150443415383023E-3</v>
      </c>
    </row>
    <row r="623" spans="1:5" x14ac:dyDescent="0.2">
      <c r="A623" s="105" t="s">
        <v>1151</v>
      </c>
      <c r="B623" s="106">
        <v>316</v>
      </c>
      <c r="C623" s="87">
        <f t="shared" si="18"/>
        <v>2.8894465999715457E-2</v>
      </c>
      <c r="D623" s="106">
        <v>47185.13</v>
      </c>
      <c r="E623" s="87">
        <f t="shared" si="19"/>
        <v>-1.419752092130544E-2</v>
      </c>
    </row>
    <row r="624" spans="1:5" x14ac:dyDescent="0.2">
      <c r="A624" s="105" t="s">
        <v>1152</v>
      </c>
      <c r="B624" s="106">
        <v>321</v>
      </c>
      <c r="C624" s="87">
        <f t="shared" si="18"/>
        <v>1.569890954310349E-2</v>
      </c>
      <c r="D624" s="106">
        <v>48081.16</v>
      </c>
      <c r="E624" s="87">
        <f t="shared" si="19"/>
        <v>1.881161580946511E-2</v>
      </c>
    </row>
    <row r="625" spans="1:5" x14ac:dyDescent="0.2">
      <c r="A625" s="105" t="s">
        <v>1153</v>
      </c>
      <c r="B625" s="106">
        <v>324</v>
      </c>
      <c r="C625" s="87">
        <f t="shared" si="18"/>
        <v>9.3023926623132525E-3</v>
      </c>
      <c r="D625" s="106">
        <v>49765.47</v>
      </c>
      <c r="E625" s="87">
        <f t="shared" si="19"/>
        <v>3.4430953650234741E-2</v>
      </c>
    </row>
    <row r="626" spans="1:5" x14ac:dyDescent="0.2">
      <c r="A626" s="105" t="s">
        <v>1154</v>
      </c>
      <c r="B626" s="106">
        <v>309</v>
      </c>
      <c r="C626" s="87">
        <f t="shared" si="18"/>
        <v>-4.7402238894583171E-2</v>
      </c>
      <c r="D626" s="106">
        <v>49477.58</v>
      </c>
      <c r="E626" s="87">
        <f t="shared" si="19"/>
        <v>-5.8017323637944429E-3</v>
      </c>
    </row>
    <row r="627" spans="1:5" x14ac:dyDescent="0.2">
      <c r="A627" s="105" t="s">
        <v>1155</v>
      </c>
      <c r="B627" s="106">
        <v>308</v>
      </c>
      <c r="C627" s="87">
        <f t="shared" si="18"/>
        <v>-3.2414939241718344E-3</v>
      </c>
      <c r="D627" s="106">
        <v>49253.15</v>
      </c>
      <c r="E627" s="87">
        <f t="shared" si="19"/>
        <v>-4.5463127146145865E-3</v>
      </c>
    </row>
    <row r="628" spans="1:5" x14ac:dyDescent="0.2">
      <c r="A628" s="105" t="s">
        <v>1156</v>
      </c>
      <c r="B628" s="106">
        <v>307</v>
      </c>
      <c r="C628" s="87">
        <f t="shared" si="18"/>
        <v>-3.2520353863771945E-3</v>
      </c>
      <c r="D628" s="106">
        <v>50071.88</v>
      </c>
      <c r="E628" s="87">
        <f t="shared" si="19"/>
        <v>1.6486248106913237E-2</v>
      </c>
    </row>
    <row r="629" spans="1:5" x14ac:dyDescent="0.2">
      <c r="A629" s="105" t="s">
        <v>1157</v>
      </c>
      <c r="B629" s="106">
        <v>310.5</v>
      </c>
      <c r="C629" s="87">
        <f t="shared" si="18"/>
        <v>1.1336153786336567E-2</v>
      </c>
      <c r="D629" s="106">
        <v>49350.07</v>
      </c>
      <c r="E629" s="87">
        <f t="shared" si="19"/>
        <v>-1.4520388752357505E-2</v>
      </c>
    </row>
    <row r="630" spans="1:5" x14ac:dyDescent="0.2">
      <c r="A630" s="105" t="s">
        <v>1158</v>
      </c>
      <c r="B630" s="106">
        <v>311</v>
      </c>
      <c r="C630" s="87">
        <f t="shared" si="18"/>
        <v>1.6090108057005281E-3</v>
      </c>
      <c r="D630" s="106">
        <v>50571.87</v>
      </c>
      <c r="E630" s="87">
        <f t="shared" si="19"/>
        <v>2.4456308535722115E-2</v>
      </c>
    </row>
    <row r="631" spans="1:5" x14ac:dyDescent="0.2">
      <c r="A631" s="105" t="s">
        <v>1159</v>
      </c>
      <c r="B631" s="106">
        <v>310</v>
      </c>
      <c r="C631" s="87">
        <f t="shared" si="18"/>
        <v>-3.2206147000417573E-3</v>
      </c>
      <c r="D631" s="106">
        <v>50296.85</v>
      </c>
      <c r="E631" s="87">
        <f t="shared" si="19"/>
        <v>-5.4530419636833471E-3</v>
      </c>
    </row>
    <row r="632" spans="1:5" x14ac:dyDescent="0.2">
      <c r="A632" s="105" t="s">
        <v>1160</v>
      </c>
      <c r="B632" s="106">
        <v>314</v>
      </c>
      <c r="C632" s="87">
        <f t="shared" si="18"/>
        <v>1.2820688429060922E-2</v>
      </c>
      <c r="D632" s="106">
        <v>50065.29</v>
      </c>
      <c r="E632" s="87">
        <f t="shared" si="19"/>
        <v>-4.614497277461993E-3</v>
      </c>
    </row>
    <row r="633" spans="1:5" x14ac:dyDescent="0.2">
      <c r="A633" s="105" t="s">
        <v>1161</v>
      </c>
      <c r="B633" s="106">
        <v>319.5</v>
      </c>
      <c r="C633" s="87">
        <f t="shared" si="18"/>
        <v>1.7364287909336085E-2</v>
      </c>
      <c r="D633" s="106">
        <v>51295.23</v>
      </c>
      <c r="E633" s="87">
        <f t="shared" si="19"/>
        <v>2.4269811784668249E-2</v>
      </c>
    </row>
    <row r="634" spans="1:5" x14ac:dyDescent="0.2">
      <c r="A634" s="105" t="s">
        <v>1162</v>
      </c>
      <c r="B634" s="106">
        <v>316</v>
      </c>
      <c r="C634" s="87">
        <f t="shared" si="18"/>
        <v>-1.1015060230676887E-2</v>
      </c>
      <c r="D634" s="106">
        <v>50708.61</v>
      </c>
      <c r="E634" s="87">
        <f t="shared" si="19"/>
        <v>-1.1502046733308902E-2</v>
      </c>
    </row>
    <row r="635" spans="1:5" x14ac:dyDescent="0.2">
      <c r="A635" s="105" t="s">
        <v>1163</v>
      </c>
      <c r="B635" s="106">
        <v>316</v>
      </c>
      <c r="C635" s="87">
        <f t="shared" si="18"/>
        <v>0</v>
      </c>
      <c r="D635" s="106">
        <v>49104.24</v>
      </c>
      <c r="E635" s="87">
        <f t="shared" si="19"/>
        <v>-3.2150333213168736E-2</v>
      </c>
    </row>
    <row r="636" spans="1:5" x14ac:dyDescent="0.2">
      <c r="A636" s="105" t="s">
        <v>1164</v>
      </c>
      <c r="B636" s="106">
        <v>316</v>
      </c>
      <c r="C636" s="87">
        <f t="shared" si="18"/>
        <v>0</v>
      </c>
      <c r="D636" s="106">
        <v>48883.67</v>
      </c>
      <c r="E636" s="87">
        <f t="shared" si="19"/>
        <v>-4.501991573068409E-3</v>
      </c>
    </row>
    <row r="637" spans="1:5" x14ac:dyDescent="0.2">
      <c r="A637" s="105" t="s">
        <v>1165</v>
      </c>
      <c r="B637" s="106">
        <v>316.5</v>
      </c>
      <c r="C637" s="87">
        <f t="shared" si="18"/>
        <v>1.5810279973189623E-3</v>
      </c>
      <c r="D637" s="106">
        <v>48373.48</v>
      </c>
      <c r="E637" s="87">
        <f t="shared" si="19"/>
        <v>-1.0491664210240614E-2</v>
      </c>
    </row>
    <row r="638" spans="1:5" x14ac:dyDescent="0.2">
      <c r="A638" s="105" t="s">
        <v>1166</v>
      </c>
      <c r="B638" s="106">
        <v>318.5</v>
      </c>
      <c r="C638" s="87">
        <f t="shared" si="18"/>
        <v>6.2992334279865503E-3</v>
      </c>
      <c r="D638" s="106">
        <v>49380.47</v>
      </c>
      <c r="E638" s="87">
        <f t="shared" si="19"/>
        <v>2.060327222756797E-2</v>
      </c>
    </row>
    <row r="639" spans="1:5" x14ac:dyDescent="0.2">
      <c r="A639" s="105" t="s">
        <v>1167</v>
      </c>
      <c r="B639" s="106">
        <v>324</v>
      </c>
      <c r="C639" s="87">
        <f t="shared" si="18"/>
        <v>1.712104078011123E-2</v>
      </c>
      <c r="D639" s="106">
        <v>49671.47</v>
      </c>
      <c r="E639" s="87">
        <f t="shared" si="19"/>
        <v>5.875722115270321E-3</v>
      </c>
    </row>
    <row r="640" spans="1:5" x14ac:dyDescent="0.2">
      <c r="A640" s="105" t="s">
        <v>410</v>
      </c>
      <c r="B640" s="106">
        <v>308</v>
      </c>
      <c r="C640" s="87">
        <f t="shared" si="18"/>
        <v>-5.0643732818755005E-2</v>
      </c>
      <c r="D640" s="106">
        <v>48479.34</v>
      </c>
      <c r="E640" s="87">
        <f t="shared" si="19"/>
        <v>-2.4292996203495676E-2</v>
      </c>
    </row>
    <row r="641" spans="1:5" x14ac:dyDescent="0.2">
      <c r="A641" s="105" t="s">
        <v>1168</v>
      </c>
      <c r="B641" s="106">
        <v>314</v>
      </c>
      <c r="C641" s="87">
        <f t="shared" si="18"/>
        <v>1.9293202934679066E-2</v>
      </c>
      <c r="D641" s="106">
        <v>50174.09</v>
      </c>
      <c r="E641" s="87">
        <f t="shared" si="19"/>
        <v>3.436103018875869E-2</v>
      </c>
    </row>
    <row r="642" spans="1:5" x14ac:dyDescent="0.2">
      <c r="A642" s="105" t="s">
        <v>1169</v>
      </c>
      <c r="B642" s="106">
        <v>322</v>
      </c>
      <c r="C642" s="87">
        <f t="shared" si="18"/>
        <v>2.5158559636155431E-2</v>
      </c>
      <c r="D642" s="106">
        <v>50240.74</v>
      </c>
      <c r="E642" s="87">
        <f t="shared" si="19"/>
        <v>1.3274933550704304E-3</v>
      </c>
    </row>
    <row r="643" spans="1:5" x14ac:dyDescent="0.2">
      <c r="A643" s="105" t="s">
        <v>1170</v>
      </c>
      <c r="B643" s="106">
        <v>325</v>
      </c>
      <c r="C643" s="87">
        <f t="shared" si="18"/>
        <v>9.273636785328776E-3</v>
      </c>
      <c r="D643" s="106">
        <v>51274.1</v>
      </c>
      <c r="E643" s="87">
        <f t="shared" si="19"/>
        <v>2.0359500040109779E-2</v>
      </c>
    </row>
    <row r="644" spans="1:5" x14ac:dyDescent="0.2">
      <c r="A644" s="105" t="s">
        <v>1171</v>
      </c>
      <c r="B644" s="106">
        <v>331</v>
      </c>
      <c r="C644" s="87">
        <f t="shared" si="18"/>
        <v>1.8293193047325573E-2</v>
      </c>
      <c r="D644" s="106">
        <v>52282.33</v>
      </c>
      <c r="E644" s="87">
        <f t="shared" si="19"/>
        <v>1.9472704084286363E-2</v>
      </c>
    </row>
    <row r="645" spans="1:5" x14ac:dyDescent="0.2">
      <c r="A645" s="105" t="s">
        <v>1172</v>
      </c>
      <c r="B645" s="106">
        <v>342</v>
      </c>
      <c r="C645" s="87">
        <f t="shared" ref="C645:C708" si="20">LN(B645)-LN(B644)</f>
        <v>3.2692361685541904E-2</v>
      </c>
      <c r="D645" s="106">
        <v>53074.42</v>
      </c>
      <c r="E645" s="87">
        <f t="shared" ref="E645:E708" si="21">LN(D645)-LN(D644)</f>
        <v>1.5036624122210185E-2</v>
      </c>
    </row>
    <row r="646" spans="1:5" x14ac:dyDescent="0.2">
      <c r="A646" s="105" t="s">
        <v>1173</v>
      </c>
      <c r="B646" s="106">
        <v>335</v>
      </c>
      <c r="C646" s="87">
        <f t="shared" si="20"/>
        <v>-2.0680205237538551E-2</v>
      </c>
      <c r="D646" s="106">
        <v>52711.92</v>
      </c>
      <c r="E646" s="87">
        <f t="shared" si="21"/>
        <v>-6.8534636680546157E-3</v>
      </c>
    </row>
    <row r="647" spans="1:5" x14ac:dyDescent="0.2">
      <c r="A647" s="105" t="s">
        <v>1174</v>
      </c>
      <c r="B647" s="106">
        <v>337.5</v>
      </c>
      <c r="C647" s="87">
        <f t="shared" si="20"/>
        <v>7.4349784875185065E-3</v>
      </c>
      <c r="D647" s="106">
        <v>53689.66</v>
      </c>
      <c r="E647" s="87">
        <f t="shared" si="21"/>
        <v>1.8378815834642737E-2</v>
      </c>
    </row>
    <row r="648" spans="1:5" x14ac:dyDescent="0.2">
      <c r="A648" s="105" t="s">
        <v>1175</v>
      </c>
      <c r="B648" s="106">
        <v>340</v>
      </c>
      <c r="C648" s="87">
        <f t="shared" si="20"/>
        <v>7.3801072976227289E-3</v>
      </c>
      <c r="D648" s="106">
        <v>53368.61</v>
      </c>
      <c r="E648" s="87">
        <f t="shared" si="21"/>
        <v>-5.997686351680187E-3</v>
      </c>
    </row>
    <row r="649" spans="1:5" x14ac:dyDescent="0.2">
      <c r="A649" s="105" t="s">
        <v>1176</v>
      </c>
      <c r="B649" s="106">
        <v>349.5</v>
      </c>
      <c r="C649" s="87">
        <f t="shared" si="20"/>
        <v>2.7557944063657303E-2</v>
      </c>
      <c r="D649" s="106">
        <v>54398.69</v>
      </c>
      <c r="E649" s="87">
        <f t="shared" si="21"/>
        <v>1.9117327277248464E-2</v>
      </c>
    </row>
    <row r="650" spans="1:5" x14ac:dyDescent="0.2">
      <c r="A650" s="105" t="s">
        <v>1177</v>
      </c>
      <c r="B650" s="106">
        <v>345</v>
      </c>
      <c r="C650" s="87">
        <f t="shared" si="20"/>
        <v>-1.2959144642504583E-2</v>
      </c>
      <c r="D650" s="106">
        <v>55245.45</v>
      </c>
      <c r="E650" s="87">
        <f t="shared" si="21"/>
        <v>1.5445911375900678E-2</v>
      </c>
    </row>
    <row r="651" spans="1:5" x14ac:dyDescent="0.2">
      <c r="A651" s="105" t="s">
        <v>1178</v>
      </c>
      <c r="B651" s="106">
        <v>294</v>
      </c>
      <c r="C651" s="87">
        <f t="shared" si="20"/>
        <v>-0.15996464969267876</v>
      </c>
      <c r="D651" s="106">
        <v>54867.57</v>
      </c>
      <c r="E651" s="87">
        <f t="shared" si="21"/>
        <v>-6.8635204706399833E-3</v>
      </c>
    </row>
    <row r="652" spans="1:5" x14ac:dyDescent="0.2">
      <c r="A652" s="105" t="s">
        <v>1179</v>
      </c>
      <c r="B652" s="106">
        <v>294.5</v>
      </c>
      <c r="C652" s="87">
        <f t="shared" si="20"/>
        <v>1.6992357529597157E-3</v>
      </c>
      <c r="D652" s="106">
        <v>56217.760000000002</v>
      </c>
      <c r="E652" s="87">
        <f t="shared" si="21"/>
        <v>2.4310257617685238E-2</v>
      </c>
    </row>
    <row r="653" spans="1:5" x14ac:dyDescent="0.2">
      <c r="A653" s="105" t="s">
        <v>1180</v>
      </c>
      <c r="B653" s="106">
        <v>294</v>
      </c>
      <c r="C653" s="87">
        <f t="shared" si="20"/>
        <v>-1.6992357529597157E-3</v>
      </c>
      <c r="D653" s="106">
        <v>56070.42</v>
      </c>
      <c r="E653" s="87">
        <f t="shared" si="21"/>
        <v>-2.6243204683105148E-3</v>
      </c>
    </row>
    <row r="654" spans="1:5" x14ac:dyDescent="0.2">
      <c r="A654" s="105" t="s">
        <v>1181</v>
      </c>
      <c r="B654" s="106">
        <v>290</v>
      </c>
      <c r="C654" s="87">
        <f t="shared" si="20"/>
        <v>-1.3698844358161821E-2</v>
      </c>
      <c r="D654" s="106">
        <v>55774.95</v>
      </c>
      <c r="E654" s="87">
        <f t="shared" si="21"/>
        <v>-5.2835568850220227E-3</v>
      </c>
    </row>
    <row r="655" spans="1:5" x14ac:dyDescent="0.2">
      <c r="A655" s="105" t="s">
        <v>1182</v>
      </c>
      <c r="B655" s="106">
        <v>289</v>
      </c>
      <c r="C655" s="87">
        <f t="shared" si="20"/>
        <v>-3.4542348680872692E-3</v>
      </c>
      <c r="D655" s="106">
        <v>54955.75</v>
      </c>
      <c r="E655" s="87">
        <f t="shared" si="21"/>
        <v>-1.4796527901673073E-2</v>
      </c>
    </row>
    <row r="656" spans="1:5" x14ac:dyDescent="0.2">
      <c r="A656" s="105" t="s">
        <v>1183</v>
      </c>
      <c r="B656" s="106">
        <v>290.5</v>
      </c>
      <c r="C656" s="87">
        <f t="shared" si="20"/>
        <v>5.1768881795339894E-3</v>
      </c>
      <c r="D656" s="106">
        <v>54724.98</v>
      </c>
      <c r="E656" s="87">
        <f t="shared" si="21"/>
        <v>-4.2080380123561412E-3</v>
      </c>
    </row>
    <row r="657" spans="1:5" x14ac:dyDescent="0.2">
      <c r="A657" s="105" t="s">
        <v>1184</v>
      </c>
      <c r="B657" s="106">
        <v>291</v>
      </c>
      <c r="C657" s="87">
        <f t="shared" si="20"/>
        <v>1.7196908795265031E-3</v>
      </c>
      <c r="D657" s="106">
        <v>55009.15</v>
      </c>
      <c r="E657" s="87">
        <f t="shared" si="21"/>
        <v>5.1792570867608134E-3</v>
      </c>
    </row>
    <row r="658" spans="1:5" x14ac:dyDescent="0.2">
      <c r="A658" s="105" t="s">
        <v>1185</v>
      </c>
      <c r="B658" s="106">
        <v>291.5</v>
      </c>
      <c r="C658" s="87">
        <f t="shared" si="20"/>
        <v>1.7167386190539702E-3</v>
      </c>
      <c r="D658" s="106">
        <v>53863.78</v>
      </c>
      <c r="E658" s="87">
        <f t="shared" si="21"/>
        <v>-2.1041268157912185E-2</v>
      </c>
    </row>
    <row r="659" spans="1:5" x14ac:dyDescent="0.2">
      <c r="A659" s="105" t="s">
        <v>1186</v>
      </c>
      <c r="B659" s="106">
        <v>284</v>
      </c>
      <c r="C659" s="87">
        <f t="shared" si="20"/>
        <v>-2.6065767629340542E-2</v>
      </c>
      <c r="D659" s="106">
        <v>54351.82</v>
      </c>
      <c r="E659" s="87">
        <f t="shared" si="21"/>
        <v>9.0198327930597344E-3</v>
      </c>
    </row>
    <row r="660" spans="1:5" x14ac:dyDescent="0.2">
      <c r="A660" s="105" t="s">
        <v>1187</v>
      </c>
      <c r="B660" s="106">
        <v>287</v>
      </c>
      <c r="C660" s="87">
        <f t="shared" si="20"/>
        <v>1.0507977598415152E-2</v>
      </c>
      <c r="D660" s="106">
        <v>54841.05</v>
      </c>
      <c r="E660" s="87">
        <f t="shared" si="21"/>
        <v>8.9609014520473096E-3</v>
      </c>
    </row>
    <row r="661" spans="1:5" x14ac:dyDescent="0.2">
      <c r="A661" s="105" t="s">
        <v>1188</v>
      </c>
      <c r="B661" s="106">
        <v>273</v>
      </c>
      <c r="C661" s="87">
        <f t="shared" si="20"/>
        <v>-5.0010420574661651E-2</v>
      </c>
      <c r="D661" s="106">
        <v>54767.199999999997</v>
      </c>
      <c r="E661" s="87">
        <f t="shared" si="21"/>
        <v>-1.3475265078106702E-3</v>
      </c>
    </row>
    <row r="662" spans="1:5" x14ac:dyDescent="0.2">
      <c r="A662" s="105" t="s">
        <v>411</v>
      </c>
      <c r="B662" s="106">
        <v>282.5</v>
      </c>
      <c r="C662" s="87">
        <f t="shared" si="20"/>
        <v>3.4206755401536171E-2</v>
      </c>
      <c r="D662" s="106">
        <v>55345.68</v>
      </c>
      <c r="E662" s="87">
        <f t="shared" si="21"/>
        <v>1.0507132716869094E-2</v>
      </c>
    </row>
    <row r="663" spans="1:5" x14ac:dyDescent="0.2">
      <c r="A663" s="105" t="s">
        <v>1189</v>
      </c>
      <c r="B663" s="106">
        <v>278</v>
      </c>
      <c r="C663" s="87">
        <f t="shared" si="20"/>
        <v>-1.6057436895859034E-2</v>
      </c>
      <c r="D663" s="106">
        <v>55007.360000000001</v>
      </c>
      <c r="E663" s="87">
        <f t="shared" si="21"/>
        <v>-6.1316128667581182E-3</v>
      </c>
    </row>
    <row r="664" spans="1:5" x14ac:dyDescent="0.2">
      <c r="A664" s="105" t="s">
        <v>1190</v>
      </c>
      <c r="B664" s="106">
        <v>271</v>
      </c>
      <c r="C664" s="87">
        <f t="shared" si="20"/>
        <v>-2.5502292810935856E-2</v>
      </c>
      <c r="D664" s="106">
        <v>53324.51</v>
      </c>
      <c r="E664" s="87">
        <f t="shared" si="21"/>
        <v>-3.1070919082010207E-2</v>
      </c>
    </row>
    <row r="665" spans="1:5" x14ac:dyDescent="0.2">
      <c r="A665" s="105" t="s">
        <v>1191</v>
      </c>
      <c r="B665" s="106">
        <v>276</v>
      </c>
      <c r="C665" s="87">
        <f t="shared" si="20"/>
        <v>1.8282044837448552E-2</v>
      </c>
      <c r="D665" s="106">
        <v>52873.919999999998</v>
      </c>
      <c r="E665" s="87">
        <f t="shared" si="21"/>
        <v>-8.4858637535010217E-3</v>
      </c>
    </row>
    <row r="666" spans="1:5" x14ac:dyDescent="0.2">
      <c r="A666" s="105" t="s">
        <v>1192</v>
      </c>
      <c r="B666" s="106">
        <v>275</v>
      </c>
      <c r="C666" s="87">
        <f t="shared" si="20"/>
        <v>-3.6297680505779084E-3</v>
      </c>
      <c r="D666" s="106">
        <v>52981.83</v>
      </c>
      <c r="E666" s="87">
        <f t="shared" si="21"/>
        <v>2.0388129578154945E-3</v>
      </c>
    </row>
    <row r="667" spans="1:5" x14ac:dyDescent="0.2">
      <c r="A667" s="105" t="s">
        <v>1193</v>
      </c>
      <c r="B667" s="106">
        <v>279</v>
      </c>
      <c r="C667" s="87">
        <f t="shared" si="20"/>
        <v>1.4440684154793715E-2</v>
      </c>
      <c r="D667" s="106">
        <v>53707.85</v>
      </c>
      <c r="E667" s="87">
        <f t="shared" si="21"/>
        <v>1.361014874280464E-2</v>
      </c>
    </row>
    <row r="668" spans="1:5" x14ac:dyDescent="0.2">
      <c r="A668" s="105" t="s">
        <v>1194</v>
      </c>
      <c r="B668" s="106">
        <v>285.5</v>
      </c>
      <c r="C668" s="87">
        <f t="shared" si="20"/>
        <v>2.3030247274699711E-2</v>
      </c>
      <c r="D668" s="106">
        <v>54105.89</v>
      </c>
      <c r="E668" s="87">
        <f t="shared" si="21"/>
        <v>7.3838790581266522E-3</v>
      </c>
    </row>
    <row r="669" spans="1:5" x14ac:dyDescent="0.2">
      <c r="A669" s="105" t="s">
        <v>1195</v>
      </c>
      <c r="B669" s="106">
        <v>288</v>
      </c>
      <c r="C669" s="87">
        <f t="shared" si="20"/>
        <v>8.7184510398810033E-3</v>
      </c>
      <c r="D669" s="106">
        <v>53415.38</v>
      </c>
      <c r="E669" s="87">
        <f t="shared" si="21"/>
        <v>-1.2844332905601163E-2</v>
      </c>
    </row>
    <row r="670" spans="1:5" x14ac:dyDescent="0.2">
      <c r="A670" s="105" t="s">
        <v>1196</v>
      </c>
      <c r="B670" s="106">
        <v>300</v>
      </c>
      <c r="C670" s="87">
        <f t="shared" si="20"/>
        <v>4.0821994520254812E-2</v>
      </c>
      <c r="D670" s="106">
        <v>53733.48</v>
      </c>
      <c r="E670" s="87">
        <f t="shared" si="21"/>
        <v>5.9375514501596172E-3</v>
      </c>
    </row>
    <row r="671" spans="1:5" x14ac:dyDescent="0.2">
      <c r="A671" s="105" t="s">
        <v>1197</v>
      </c>
      <c r="B671" s="106">
        <v>299</v>
      </c>
      <c r="C671" s="87">
        <f t="shared" si="20"/>
        <v>-3.3389012655140604E-3</v>
      </c>
      <c r="D671" s="106">
        <v>53240.23</v>
      </c>
      <c r="E671" s="87">
        <f t="shared" si="21"/>
        <v>-9.2219573515439635E-3</v>
      </c>
    </row>
    <row r="672" spans="1:5" x14ac:dyDescent="0.2">
      <c r="A672" s="105" t="s">
        <v>1198</v>
      </c>
      <c r="B672" s="106">
        <v>295</v>
      </c>
      <c r="C672" s="87">
        <f t="shared" si="20"/>
        <v>-1.3468217050866649E-2</v>
      </c>
      <c r="D672" s="106">
        <v>52947.63</v>
      </c>
      <c r="E672" s="87">
        <f t="shared" si="21"/>
        <v>-5.5110017387907106E-3</v>
      </c>
    </row>
    <row r="673" spans="1:5" x14ac:dyDescent="0.2">
      <c r="A673" s="105" t="s">
        <v>1199</v>
      </c>
      <c r="B673" s="106">
        <v>292</v>
      </c>
      <c r="C673" s="87">
        <f t="shared" si="20"/>
        <v>-1.0221554071538463E-2</v>
      </c>
      <c r="D673" s="106">
        <v>51633.52</v>
      </c>
      <c r="E673" s="87">
        <f t="shared" si="21"/>
        <v>-2.5132237855080675E-2</v>
      </c>
    </row>
    <row r="674" spans="1:5" x14ac:dyDescent="0.2">
      <c r="A674" s="105" t="s">
        <v>1200</v>
      </c>
      <c r="B674" s="106">
        <v>295</v>
      </c>
      <c r="C674" s="87">
        <f t="shared" si="20"/>
        <v>1.0221554071538463E-2</v>
      </c>
      <c r="D674" s="106">
        <v>51418.11</v>
      </c>
      <c r="E674" s="87">
        <f t="shared" si="21"/>
        <v>-4.1806289476138403E-3</v>
      </c>
    </row>
    <row r="675" spans="1:5" x14ac:dyDescent="0.2">
      <c r="A675" s="105" t="s">
        <v>1201</v>
      </c>
      <c r="B675" s="106">
        <v>301.5</v>
      </c>
      <c r="C675" s="87">
        <f t="shared" si="20"/>
        <v>2.1794659827420126E-2</v>
      </c>
      <c r="D675" s="106">
        <v>52440.94</v>
      </c>
      <c r="E675" s="87">
        <f t="shared" si="21"/>
        <v>1.9697138946547454E-2</v>
      </c>
    </row>
    <row r="676" spans="1:5" x14ac:dyDescent="0.2">
      <c r="A676" s="105" t="s">
        <v>1202</v>
      </c>
      <c r="B676" s="106">
        <v>296</v>
      </c>
      <c r="C676" s="87">
        <f t="shared" si="20"/>
        <v>-1.841056184318024E-2</v>
      </c>
      <c r="D676" s="106">
        <v>52667.43</v>
      </c>
      <c r="E676" s="87">
        <f t="shared" si="21"/>
        <v>4.3096539419646973E-3</v>
      </c>
    </row>
    <row r="677" spans="1:5" x14ac:dyDescent="0.2">
      <c r="A677" s="105" t="s">
        <v>1203</v>
      </c>
      <c r="B677" s="106">
        <v>304.5</v>
      </c>
      <c r="C677" s="87">
        <f t="shared" si="20"/>
        <v>2.8311632825891664E-2</v>
      </c>
      <c r="D677" s="106">
        <v>54081.120000000003</v>
      </c>
      <c r="E677" s="87">
        <f t="shared" si="21"/>
        <v>2.6487903654718536E-2</v>
      </c>
    </row>
    <row r="678" spans="1:5" x14ac:dyDescent="0.2">
      <c r="A678" s="105" t="s">
        <v>1204</v>
      </c>
      <c r="B678" s="106">
        <v>312.5</v>
      </c>
      <c r="C678" s="87">
        <f t="shared" si="20"/>
        <v>2.5933382026504859E-2</v>
      </c>
      <c r="D678" s="106">
        <v>54611.02</v>
      </c>
      <c r="E678" s="87">
        <f t="shared" si="21"/>
        <v>9.7505523080236856E-3</v>
      </c>
    </row>
    <row r="679" spans="1:5" x14ac:dyDescent="0.2">
      <c r="A679" s="105" t="s">
        <v>1205</v>
      </c>
      <c r="B679" s="106">
        <v>299.5</v>
      </c>
      <c r="C679" s="87">
        <f t="shared" si="20"/>
        <v>-4.2490051620952762E-2</v>
      </c>
      <c r="D679" s="106">
        <v>53853.42</v>
      </c>
      <c r="E679" s="87">
        <f t="shared" si="21"/>
        <v>-1.3969782552411658E-2</v>
      </c>
    </row>
    <row r="680" spans="1:5" x14ac:dyDescent="0.2">
      <c r="A680" s="105" t="s">
        <v>1206</v>
      </c>
      <c r="B680" s="106">
        <v>292</v>
      </c>
      <c r="C680" s="87">
        <f t="shared" si="20"/>
        <v>-2.536061528722211E-2</v>
      </c>
      <c r="D680" s="106">
        <v>52139.6</v>
      </c>
      <c r="E680" s="87">
        <f t="shared" si="21"/>
        <v>-3.2341174512355408E-2</v>
      </c>
    </row>
    <row r="681" spans="1:5" x14ac:dyDescent="0.2">
      <c r="A681" s="105" t="s">
        <v>1207</v>
      </c>
      <c r="B681" s="106">
        <v>295</v>
      </c>
      <c r="C681" s="87">
        <f t="shared" si="20"/>
        <v>1.0221554071538463E-2</v>
      </c>
      <c r="D681" s="106">
        <v>52064.47</v>
      </c>
      <c r="E681" s="87">
        <f t="shared" si="21"/>
        <v>-1.4419784758530341E-3</v>
      </c>
    </row>
    <row r="682" spans="1:5" x14ac:dyDescent="0.2">
      <c r="A682" s="105" t="s">
        <v>1208</v>
      </c>
      <c r="B682" s="106">
        <v>288</v>
      </c>
      <c r="C682" s="87">
        <f t="shared" si="20"/>
        <v>-2.4014876203874103E-2</v>
      </c>
      <c r="D682" s="106">
        <v>53455.23</v>
      </c>
      <c r="E682" s="87">
        <f t="shared" si="21"/>
        <v>2.6361722793874165E-2</v>
      </c>
    </row>
    <row r="683" spans="1:5" x14ac:dyDescent="0.2">
      <c r="A683" s="105" t="s">
        <v>412</v>
      </c>
      <c r="B683" s="106">
        <v>292</v>
      </c>
      <c r="C683" s="87">
        <f t="shared" si="20"/>
        <v>1.3793322132335639E-2</v>
      </c>
      <c r="D683" s="106">
        <v>53433.55</v>
      </c>
      <c r="E683" s="87">
        <f t="shared" si="21"/>
        <v>-4.0565530446379228E-4</v>
      </c>
    </row>
    <row r="684" spans="1:5" x14ac:dyDescent="0.2">
      <c r="A684" s="105" t="s">
        <v>1209</v>
      </c>
      <c r="B684" s="106">
        <v>288</v>
      </c>
      <c r="C684" s="87">
        <f t="shared" si="20"/>
        <v>-1.3793322132335639E-2</v>
      </c>
      <c r="D684" s="106">
        <v>53573.42</v>
      </c>
      <c r="E684" s="87">
        <f t="shared" si="21"/>
        <v>2.6142237212756214E-3</v>
      </c>
    </row>
    <row r="685" spans="1:5" x14ac:dyDescent="0.2">
      <c r="A685" s="105" t="s">
        <v>1210</v>
      </c>
      <c r="B685" s="106">
        <v>304.5</v>
      </c>
      <c r="C685" s="87">
        <f t="shared" si="20"/>
        <v>5.5710607014005653E-2</v>
      </c>
      <c r="D685" s="106">
        <v>54699.63</v>
      </c>
      <c r="E685" s="87">
        <f t="shared" si="21"/>
        <v>2.0803895679348372E-2</v>
      </c>
    </row>
    <row r="686" spans="1:5" x14ac:dyDescent="0.2">
      <c r="A686" s="105" t="s">
        <v>1211</v>
      </c>
      <c r="B686" s="106">
        <v>302.5</v>
      </c>
      <c r="C686" s="87">
        <f t="shared" si="20"/>
        <v>-6.589809679055314E-3</v>
      </c>
      <c r="D686" s="106">
        <v>54492.82</v>
      </c>
      <c r="E686" s="87">
        <f t="shared" si="21"/>
        <v>-3.7879953658226384E-3</v>
      </c>
    </row>
    <row r="687" spans="1:5" x14ac:dyDescent="0.2">
      <c r="A687" s="105" t="s">
        <v>1212</v>
      </c>
      <c r="B687" s="106">
        <v>303</v>
      </c>
      <c r="C687" s="87">
        <f t="shared" si="20"/>
        <v>1.6515280384723496E-3</v>
      </c>
      <c r="D687" s="106">
        <v>53849.32</v>
      </c>
      <c r="E687" s="87">
        <f t="shared" si="21"/>
        <v>-1.1879174017829897E-2</v>
      </c>
    </row>
    <row r="688" spans="1:5" x14ac:dyDescent="0.2">
      <c r="A688" s="105" t="s">
        <v>1213</v>
      </c>
      <c r="B688" s="106">
        <v>287</v>
      </c>
      <c r="C688" s="87">
        <f t="shared" si="20"/>
        <v>-5.4250589749747391E-2</v>
      </c>
      <c r="D688" s="106">
        <v>53014.11</v>
      </c>
      <c r="E688" s="87">
        <f t="shared" si="21"/>
        <v>-1.5631671317963836E-2</v>
      </c>
    </row>
    <row r="689" spans="1:5" x14ac:dyDescent="0.2">
      <c r="A689" s="105" t="s">
        <v>1214</v>
      </c>
      <c r="B689" s="106">
        <v>279.5</v>
      </c>
      <c r="C689" s="87">
        <f t="shared" si="20"/>
        <v>-2.6479923164467678E-2</v>
      </c>
      <c r="D689" s="106">
        <v>52274.01</v>
      </c>
      <c r="E689" s="87">
        <f t="shared" si="21"/>
        <v>-1.4058797706915982E-2</v>
      </c>
    </row>
    <row r="690" spans="1:5" x14ac:dyDescent="0.2">
      <c r="A690" s="105" t="s">
        <v>1215</v>
      </c>
      <c r="B690" s="106">
        <v>286</v>
      </c>
      <c r="C690" s="87">
        <f t="shared" si="20"/>
        <v>2.2989518224698635E-2</v>
      </c>
      <c r="D690" s="106">
        <v>53001.66</v>
      </c>
      <c r="E690" s="87">
        <f t="shared" si="21"/>
        <v>1.3823926988019153E-2</v>
      </c>
    </row>
    <row r="691" spans="1:5" x14ac:dyDescent="0.2">
      <c r="A691" s="105" t="s">
        <v>1216</v>
      </c>
      <c r="B691" s="106">
        <v>294</v>
      </c>
      <c r="C691" s="87">
        <f t="shared" si="20"/>
        <v>2.758795651882906E-2</v>
      </c>
      <c r="D691" s="106">
        <v>54066.32</v>
      </c>
      <c r="E691" s="87">
        <f t="shared" si="21"/>
        <v>1.9888207339054276E-2</v>
      </c>
    </row>
    <row r="692" spans="1:5" x14ac:dyDescent="0.2">
      <c r="A692" s="105" t="s">
        <v>1217</v>
      </c>
      <c r="B692" s="106">
        <v>292</v>
      </c>
      <c r="C692" s="87">
        <f t="shared" si="20"/>
        <v>-6.8259650703996755E-3</v>
      </c>
      <c r="D692" s="106">
        <v>52939.91</v>
      </c>
      <c r="E692" s="87">
        <f t="shared" si="21"/>
        <v>-2.1053944395678315E-2</v>
      </c>
    </row>
    <row r="693" spans="1:5" x14ac:dyDescent="0.2">
      <c r="A693" s="105" t="s">
        <v>1218</v>
      </c>
      <c r="B693" s="106">
        <v>304.5</v>
      </c>
      <c r="C693" s="87">
        <f t="shared" si="20"/>
        <v>4.1917284881670014E-2</v>
      </c>
      <c r="D693" s="106">
        <v>52629.58</v>
      </c>
      <c r="E693" s="87">
        <f t="shared" si="21"/>
        <v>-5.8791776652924455E-3</v>
      </c>
    </row>
    <row r="694" spans="1:5" x14ac:dyDescent="0.2">
      <c r="A694" s="105" t="s">
        <v>1219</v>
      </c>
      <c r="B694" s="106">
        <v>284</v>
      </c>
      <c r="C694" s="87">
        <f t="shared" si="20"/>
        <v>-6.9696848988745508E-2</v>
      </c>
      <c r="D694" s="106">
        <v>53357.34</v>
      </c>
      <c r="E694" s="87">
        <f t="shared" si="21"/>
        <v>1.3733231195411477E-2</v>
      </c>
    </row>
    <row r="695" spans="1:5" x14ac:dyDescent="0.2">
      <c r="A695" s="105" t="s">
        <v>1220</v>
      </c>
      <c r="B695" s="106">
        <v>300.5</v>
      </c>
      <c r="C695" s="87">
        <f t="shared" si="20"/>
        <v>5.6473515814055908E-2</v>
      </c>
      <c r="D695" s="106">
        <v>53247.17</v>
      </c>
      <c r="E695" s="87">
        <f t="shared" si="21"/>
        <v>-2.0668926524951559E-3</v>
      </c>
    </row>
    <row r="696" spans="1:5" x14ac:dyDescent="0.2">
      <c r="A696" s="105" t="s">
        <v>1221</v>
      </c>
      <c r="B696" s="106">
        <v>306.5</v>
      </c>
      <c r="C696" s="87">
        <f t="shared" si="20"/>
        <v>1.9770001401004045E-2</v>
      </c>
      <c r="D696" s="106">
        <v>52854.04</v>
      </c>
      <c r="E696" s="87">
        <f t="shared" si="21"/>
        <v>-7.4105054801716363E-3</v>
      </c>
    </row>
    <row r="697" spans="1:5" x14ac:dyDescent="0.2">
      <c r="A697" s="105" t="s">
        <v>1222</v>
      </c>
      <c r="B697" s="106">
        <v>305</v>
      </c>
      <c r="C697" s="87">
        <f t="shared" si="20"/>
        <v>-4.9059787688543466E-3</v>
      </c>
      <c r="D697" s="106">
        <v>54307.76</v>
      </c>
      <c r="E697" s="87">
        <f t="shared" si="21"/>
        <v>2.713297433266959E-2</v>
      </c>
    </row>
    <row r="698" spans="1:5" x14ac:dyDescent="0.2">
      <c r="A698" s="105" t="s">
        <v>1223</v>
      </c>
      <c r="B698" s="106">
        <v>315</v>
      </c>
      <c r="C698" s="87">
        <f t="shared" si="20"/>
        <v>3.226086221822122E-2</v>
      </c>
      <c r="D698" s="106">
        <v>55440.27</v>
      </c>
      <c r="E698" s="87">
        <f t="shared" si="21"/>
        <v>2.063909850980572E-2</v>
      </c>
    </row>
    <row r="699" spans="1:5" x14ac:dyDescent="0.2">
      <c r="A699" s="105" t="s">
        <v>1224</v>
      </c>
      <c r="B699" s="106">
        <v>306</v>
      </c>
      <c r="C699" s="87">
        <f t="shared" si="20"/>
        <v>-2.8987536873252395E-2</v>
      </c>
      <c r="D699" s="106">
        <v>56070.26</v>
      </c>
      <c r="E699" s="87">
        <f t="shared" si="21"/>
        <v>1.1299322185989169E-2</v>
      </c>
    </row>
    <row r="700" spans="1:5" x14ac:dyDescent="0.2">
      <c r="A700" s="105" t="s">
        <v>1225</v>
      </c>
      <c r="B700" s="106">
        <v>309.5</v>
      </c>
      <c r="C700" s="87">
        <f t="shared" si="20"/>
        <v>1.1372990172270114E-2</v>
      </c>
      <c r="D700" s="106">
        <v>57098.75</v>
      </c>
      <c r="E700" s="87">
        <f t="shared" si="21"/>
        <v>1.8176677818132703E-2</v>
      </c>
    </row>
    <row r="701" spans="1:5" x14ac:dyDescent="0.2">
      <c r="A701" s="105" t="s">
        <v>1226</v>
      </c>
      <c r="B701" s="106">
        <v>312</v>
      </c>
      <c r="C701" s="87">
        <f t="shared" si="20"/>
        <v>8.0450956848316935E-3</v>
      </c>
      <c r="D701" s="106">
        <v>57588.05</v>
      </c>
      <c r="E701" s="87">
        <f t="shared" si="21"/>
        <v>8.5328558963890799E-3</v>
      </c>
    </row>
    <row r="702" spans="1:5" x14ac:dyDescent="0.2">
      <c r="A702" s="105" t="s">
        <v>1227</v>
      </c>
      <c r="B702" s="106">
        <v>313</v>
      </c>
      <c r="C702" s="87">
        <f t="shared" si="20"/>
        <v>3.2000027306704482E-3</v>
      </c>
      <c r="D702" s="106">
        <v>56857.65</v>
      </c>
      <c r="E702" s="87">
        <f t="shared" si="21"/>
        <v>-1.2764305112835217E-2</v>
      </c>
    </row>
    <row r="703" spans="1:5" x14ac:dyDescent="0.2">
      <c r="A703" s="105" t="s">
        <v>1228</v>
      </c>
      <c r="B703" s="106">
        <v>310.5</v>
      </c>
      <c r="C703" s="87">
        <f t="shared" si="20"/>
        <v>-8.0192891666195365E-3</v>
      </c>
      <c r="D703" s="106">
        <v>57227.34</v>
      </c>
      <c r="E703" s="87">
        <f t="shared" si="21"/>
        <v>6.480980434146133E-3</v>
      </c>
    </row>
    <row r="704" spans="1:5" x14ac:dyDescent="0.2">
      <c r="A704" s="105" t="s">
        <v>413</v>
      </c>
      <c r="B704" s="106">
        <v>317</v>
      </c>
      <c r="C704" s="87">
        <f t="shared" si="20"/>
        <v>2.0717872503746904E-2</v>
      </c>
      <c r="D704" s="106">
        <v>57025.53</v>
      </c>
      <c r="E704" s="87">
        <f t="shared" si="21"/>
        <v>-3.5326939249955558E-3</v>
      </c>
    </row>
    <row r="705" spans="1:5" x14ac:dyDescent="0.2">
      <c r="A705" s="105" t="s">
        <v>1229</v>
      </c>
      <c r="B705" s="106">
        <v>321</v>
      </c>
      <c r="C705" s="87">
        <f t="shared" si="20"/>
        <v>1.2539349252735477E-2</v>
      </c>
      <c r="D705" s="106">
        <v>57432.29</v>
      </c>
      <c r="E705" s="87">
        <f t="shared" si="21"/>
        <v>7.1076264147329482E-3</v>
      </c>
    </row>
    <row r="706" spans="1:5" x14ac:dyDescent="0.2">
      <c r="A706" s="105" t="s">
        <v>1230</v>
      </c>
      <c r="B706" s="106">
        <v>322</v>
      </c>
      <c r="C706" s="87">
        <f t="shared" si="20"/>
        <v>3.1104224143927439E-3</v>
      </c>
      <c r="D706" s="106">
        <v>57836.79</v>
      </c>
      <c r="E706" s="87">
        <f t="shared" si="21"/>
        <v>7.0183896739131058E-3</v>
      </c>
    </row>
    <row r="707" spans="1:5" x14ac:dyDescent="0.2">
      <c r="A707" s="105" t="s">
        <v>1231</v>
      </c>
      <c r="B707" s="106">
        <v>310</v>
      </c>
      <c r="C707" s="87">
        <f t="shared" si="20"/>
        <v>-3.7979248065216353E-2</v>
      </c>
      <c r="D707" s="106">
        <v>56609.87</v>
      </c>
      <c r="E707" s="87">
        <f t="shared" si="21"/>
        <v>-2.1441726753259616E-2</v>
      </c>
    </row>
    <row r="708" spans="1:5" x14ac:dyDescent="0.2">
      <c r="A708" s="105" t="s">
        <v>1232</v>
      </c>
      <c r="B708" s="106">
        <v>312.5</v>
      </c>
      <c r="C708" s="87">
        <f t="shared" si="20"/>
        <v>8.0321716972644452E-3</v>
      </c>
      <c r="D708" s="106">
        <v>56929.760000000002</v>
      </c>
      <c r="E708" s="87">
        <f t="shared" si="21"/>
        <v>5.6348756187372118E-3</v>
      </c>
    </row>
    <row r="709" spans="1:5" x14ac:dyDescent="0.2">
      <c r="A709" s="105" t="s">
        <v>1233</v>
      </c>
      <c r="B709" s="106">
        <v>310.5</v>
      </c>
      <c r="C709" s="87">
        <f t="shared" ref="C709:C772" si="22">LN(B709)-LN(B708)</f>
        <v>-6.420567802923216E-3</v>
      </c>
      <c r="D709" s="106">
        <v>56167.94</v>
      </c>
      <c r="E709" s="87">
        <f t="shared" ref="E709:E772" si="23">LN(D709)-LN(D708)</f>
        <v>-1.3472095760130642E-2</v>
      </c>
    </row>
    <row r="710" spans="1:5" x14ac:dyDescent="0.2">
      <c r="A710" s="105" t="s">
        <v>1234</v>
      </c>
      <c r="B710" s="106">
        <v>311.5</v>
      </c>
      <c r="C710" s="87">
        <f t="shared" si="22"/>
        <v>3.2154368539742961E-3</v>
      </c>
      <c r="D710" s="106">
        <v>56514.99</v>
      </c>
      <c r="E710" s="87">
        <f t="shared" si="23"/>
        <v>6.1597812080265157E-3</v>
      </c>
    </row>
    <row r="711" spans="1:5" x14ac:dyDescent="0.2">
      <c r="A711" s="105" t="s">
        <v>1235</v>
      </c>
      <c r="B711" s="106">
        <v>316</v>
      </c>
      <c r="C711" s="87">
        <f t="shared" si="22"/>
        <v>1.4342875359404594E-2</v>
      </c>
      <c r="D711" s="106">
        <v>57167.82</v>
      </c>
      <c r="E711" s="87">
        <f t="shared" si="23"/>
        <v>1.1485239962983229E-2</v>
      </c>
    </row>
    <row r="712" spans="1:5" x14ac:dyDescent="0.2">
      <c r="A712" s="105" t="s">
        <v>1236</v>
      </c>
      <c r="B712" s="106">
        <v>318</v>
      </c>
      <c r="C712" s="87">
        <f t="shared" si="22"/>
        <v>6.3091691932646299E-3</v>
      </c>
      <c r="D712" s="106">
        <v>55687.59</v>
      </c>
      <c r="E712" s="87">
        <f t="shared" si="23"/>
        <v>-2.6233831270149111E-2</v>
      </c>
    </row>
    <row r="713" spans="1:5" x14ac:dyDescent="0.2">
      <c r="A713" s="105" t="s">
        <v>1237</v>
      </c>
      <c r="B713" s="106">
        <v>318.5</v>
      </c>
      <c r="C713" s="87">
        <f t="shared" si="22"/>
        <v>1.5710922320408827E-3</v>
      </c>
      <c r="D713" s="106">
        <v>55555.31</v>
      </c>
      <c r="E713" s="87">
        <f t="shared" si="23"/>
        <v>-2.3782203151352377E-3</v>
      </c>
    </row>
    <row r="714" spans="1:5" x14ac:dyDescent="0.2">
      <c r="A714" s="105" t="s">
        <v>1238</v>
      </c>
      <c r="B714" s="106">
        <v>322</v>
      </c>
      <c r="C714" s="87">
        <f t="shared" si="22"/>
        <v>1.0929070532190721E-2</v>
      </c>
      <c r="D714" s="106">
        <v>56292.6</v>
      </c>
      <c r="E714" s="87">
        <f t="shared" si="23"/>
        <v>1.318398670947829E-2</v>
      </c>
    </row>
    <row r="715" spans="1:5" x14ac:dyDescent="0.2">
      <c r="A715" s="105" t="s">
        <v>1239</v>
      </c>
      <c r="B715" s="106">
        <v>309</v>
      </c>
      <c r="C715" s="87">
        <f t="shared" si="22"/>
        <v>-4.1210268646662662E-2</v>
      </c>
      <c r="D715" s="106">
        <v>56247.82</v>
      </c>
      <c r="E715" s="87">
        <f t="shared" si="23"/>
        <v>-7.9580300772263968E-4</v>
      </c>
    </row>
    <row r="716" spans="1:5" x14ac:dyDescent="0.2">
      <c r="A716" s="105" t="s">
        <v>1240</v>
      </c>
      <c r="B716" s="106">
        <v>309</v>
      </c>
      <c r="C716" s="87">
        <f t="shared" si="22"/>
        <v>0</v>
      </c>
      <c r="D716" s="106">
        <v>55260.52</v>
      </c>
      <c r="E716" s="87">
        <f t="shared" si="23"/>
        <v>-1.7708555265436132E-2</v>
      </c>
    </row>
    <row r="717" spans="1:5" x14ac:dyDescent="0.2">
      <c r="A717" s="105" t="s">
        <v>1241</v>
      </c>
      <c r="B717" s="106">
        <v>306</v>
      </c>
      <c r="C717" s="87">
        <f t="shared" si="22"/>
        <v>-9.7561749453651814E-3</v>
      </c>
      <c r="D717" s="106">
        <v>55143.54</v>
      </c>
      <c r="E717" s="87">
        <f t="shared" si="23"/>
        <v>-2.1191257599895152E-3</v>
      </c>
    </row>
    <row r="718" spans="1:5" x14ac:dyDescent="0.2">
      <c r="A718" s="105" t="s">
        <v>1242</v>
      </c>
      <c r="B718" s="106">
        <v>303.5</v>
      </c>
      <c r="C718" s="87">
        <f t="shared" si="22"/>
        <v>-8.203491452827727E-3</v>
      </c>
      <c r="D718" s="106">
        <v>53074.58</v>
      </c>
      <c r="E718" s="87">
        <f t="shared" si="23"/>
        <v>-3.8241509524716832E-2</v>
      </c>
    </row>
    <row r="719" spans="1:5" x14ac:dyDescent="0.2">
      <c r="A719" s="105" t="s">
        <v>1243</v>
      </c>
      <c r="B719" s="106">
        <v>337</v>
      </c>
      <c r="C719" s="87">
        <f t="shared" si="22"/>
        <v>0.10470131985280862</v>
      </c>
      <c r="D719" s="106">
        <v>53899.7</v>
      </c>
      <c r="E719" s="87">
        <f t="shared" si="23"/>
        <v>1.5426817808936732E-2</v>
      </c>
    </row>
    <row r="720" spans="1:5" x14ac:dyDescent="0.2">
      <c r="A720" s="105" t="s">
        <v>1244</v>
      </c>
      <c r="B720" s="106">
        <v>340</v>
      </c>
      <c r="C720" s="87">
        <f t="shared" si="22"/>
        <v>8.8626872578458915E-3</v>
      </c>
      <c r="D720" s="106">
        <v>53951.73</v>
      </c>
      <c r="E720" s="87">
        <f t="shared" si="23"/>
        <v>9.6484588171641406E-4</v>
      </c>
    </row>
    <row r="721" spans="1:5" x14ac:dyDescent="0.2">
      <c r="A721" s="105" t="s">
        <v>1245</v>
      </c>
      <c r="B721" s="106">
        <v>338</v>
      </c>
      <c r="C721" s="87">
        <f t="shared" si="22"/>
        <v>-5.8997221271885891E-3</v>
      </c>
      <c r="D721" s="106">
        <v>54194.239999999998</v>
      </c>
      <c r="E721" s="87">
        <f t="shared" si="23"/>
        <v>4.4848718170182877E-3</v>
      </c>
    </row>
    <row r="722" spans="1:5" x14ac:dyDescent="0.2">
      <c r="A722" s="105" t="s">
        <v>1246</v>
      </c>
      <c r="B722" s="106">
        <v>343</v>
      </c>
      <c r="C722" s="87">
        <f t="shared" si="22"/>
        <v>1.4684551682920599E-2</v>
      </c>
      <c r="D722" s="106">
        <v>55237.120000000003</v>
      </c>
      <c r="E722" s="87">
        <f t="shared" si="23"/>
        <v>1.9060561313231972E-2</v>
      </c>
    </row>
    <row r="723" spans="1:5" x14ac:dyDescent="0.2">
      <c r="A723" s="105" t="s">
        <v>1247</v>
      </c>
      <c r="B723" s="106">
        <v>341</v>
      </c>
      <c r="C723" s="87">
        <f t="shared" si="22"/>
        <v>-5.8479698824225324E-3</v>
      </c>
      <c r="D723" s="106">
        <v>55467.4</v>
      </c>
      <c r="E723" s="87">
        <f t="shared" si="23"/>
        <v>4.1602697367260077E-3</v>
      </c>
    </row>
    <row r="724" spans="1:5" x14ac:dyDescent="0.2">
      <c r="A724" s="105" t="s">
        <v>1248</v>
      </c>
      <c r="B724" s="106">
        <v>343.5</v>
      </c>
      <c r="C724" s="87">
        <f t="shared" si="22"/>
        <v>7.3046343788867318E-3</v>
      </c>
      <c r="D724" s="106">
        <v>56695.38</v>
      </c>
      <c r="E724" s="87">
        <f t="shared" si="23"/>
        <v>2.1897265146982647E-2</v>
      </c>
    </row>
    <row r="725" spans="1:5" x14ac:dyDescent="0.2">
      <c r="A725" s="105" t="s">
        <v>1249</v>
      </c>
      <c r="B725" s="106">
        <v>346</v>
      </c>
      <c r="C725" s="87">
        <f t="shared" si="22"/>
        <v>7.2516633953210174E-3</v>
      </c>
      <c r="D725" s="106">
        <v>56886.29</v>
      </c>
      <c r="E725" s="87">
        <f t="shared" si="23"/>
        <v>3.361637133583173E-3</v>
      </c>
    </row>
    <row r="726" spans="1:5" x14ac:dyDescent="0.2">
      <c r="A726" s="105" t="s">
        <v>1250</v>
      </c>
      <c r="B726" s="106">
        <v>381.5</v>
      </c>
      <c r="C726" s="87">
        <f t="shared" si="22"/>
        <v>9.7672075666786817E-2</v>
      </c>
      <c r="D726" s="106">
        <v>57754.98</v>
      </c>
      <c r="E726" s="87">
        <f t="shared" si="23"/>
        <v>1.5155216384208359E-2</v>
      </c>
    </row>
    <row r="727" spans="1:5" x14ac:dyDescent="0.2">
      <c r="A727" s="105" t="s">
        <v>1251</v>
      </c>
      <c r="B727" s="106">
        <v>382</v>
      </c>
      <c r="C727" s="87">
        <f t="shared" si="22"/>
        <v>1.3097578820637779E-3</v>
      </c>
      <c r="D727" s="106">
        <v>58300.98</v>
      </c>
      <c r="E727" s="87">
        <f t="shared" si="23"/>
        <v>9.4093233704359847E-3</v>
      </c>
    </row>
    <row r="728" spans="1:5" x14ac:dyDescent="0.2">
      <c r="A728" s="105" t="s">
        <v>1252</v>
      </c>
      <c r="B728" s="106">
        <v>385.5</v>
      </c>
      <c r="C728" s="87">
        <f t="shared" si="22"/>
        <v>9.1205843968085176E-3</v>
      </c>
      <c r="D728" s="106">
        <v>58139.06</v>
      </c>
      <c r="E728" s="87">
        <f t="shared" si="23"/>
        <v>-2.7811756912843322E-3</v>
      </c>
    </row>
    <row r="729" spans="1:5" x14ac:dyDescent="0.2">
      <c r="A729" s="105" t="s">
        <v>1253</v>
      </c>
      <c r="B729" s="106">
        <v>390</v>
      </c>
      <c r="C729" s="87">
        <f t="shared" si="22"/>
        <v>1.1605546120308396E-2</v>
      </c>
      <c r="D729" s="106">
        <v>58836.03</v>
      </c>
      <c r="E729" s="87">
        <f t="shared" si="23"/>
        <v>1.1916695219497342E-2</v>
      </c>
    </row>
    <row r="730" spans="1:5" x14ac:dyDescent="0.2">
      <c r="A730" s="105" t="s">
        <v>1254</v>
      </c>
      <c r="B730" s="106">
        <v>398.5</v>
      </c>
      <c r="C730" s="87">
        <f t="shared" si="22"/>
        <v>2.1560759106577621E-2</v>
      </c>
      <c r="D730" s="106">
        <v>59442.53</v>
      </c>
      <c r="E730" s="87">
        <f t="shared" si="23"/>
        <v>1.0255541084829289E-2</v>
      </c>
    </row>
    <row r="731" spans="1:5" x14ac:dyDescent="0.2">
      <c r="A731" s="105" t="s">
        <v>1255</v>
      </c>
      <c r="B731" s="106">
        <v>393</v>
      </c>
      <c r="C731" s="87">
        <f t="shared" si="22"/>
        <v>-1.3897886361008638E-2</v>
      </c>
      <c r="D731" s="106">
        <v>60903.71</v>
      </c>
      <c r="E731" s="87">
        <f t="shared" si="23"/>
        <v>2.4284128966863605E-2</v>
      </c>
    </row>
    <row r="732" spans="1:5" x14ac:dyDescent="0.2">
      <c r="A732" s="105" t="s">
        <v>1256</v>
      </c>
      <c r="B732" s="106">
        <v>403</v>
      </c>
      <c r="C732" s="87">
        <f t="shared" si="22"/>
        <v>2.5126950077421384E-2</v>
      </c>
      <c r="D732" s="106">
        <v>62331.7</v>
      </c>
      <c r="E732" s="87">
        <f t="shared" si="23"/>
        <v>2.3176032234049515E-2</v>
      </c>
    </row>
    <row r="733" spans="1:5" x14ac:dyDescent="0.2">
      <c r="A733" s="105" t="s">
        <v>1257</v>
      </c>
      <c r="B733" s="106">
        <v>395</v>
      </c>
      <c r="C733" s="87">
        <f t="shared" si="22"/>
        <v>-2.0050797045560564E-2</v>
      </c>
      <c r="D733" s="106">
        <v>62780.02</v>
      </c>
      <c r="E733" s="87">
        <f t="shared" si="23"/>
        <v>7.1667453519399515E-3</v>
      </c>
    </row>
    <row r="734" spans="1:5" x14ac:dyDescent="0.2">
      <c r="A734" s="105" t="s">
        <v>1258</v>
      </c>
      <c r="B734" s="106">
        <v>402</v>
      </c>
      <c r="C734" s="87">
        <f t="shared" si="22"/>
        <v>1.7566323717899124E-2</v>
      </c>
      <c r="D734" s="106">
        <v>63200.73</v>
      </c>
      <c r="E734" s="87">
        <f t="shared" si="23"/>
        <v>6.678981732463285E-3</v>
      </c>
    </row>
    <row r="735" spans="1:5" x14ac:dyDescent="0.2">
      <c r="A735" s="105" t="s">
        <v>1259</v>
      </c>
      <c r="B735" s="106">
        <v>403.5</v>
      </c>
      <c r="C735" s="87">
        <f t="shared" si="22"/>
        <v>3.7243990909825442E-3</v>
      </c>
      <c r="D735" s="106">
        <v>63760.06</v>
      </c>
      <c r="E735" s="87">
        <f t="shared" si="23"/>
        <v>8.811123791360842E-3</v>
      </c>
    </row>
    <row r="736" spans="1:5" x14ac:dyDescent="0.2">
      <c r="A736" s="105" t="s">
        <v>1260</v>
      </c>
      <c r="B736" s="106">
        <v>405</v>
      </c>
      <c r="C736" s="87">
        <f t="shared" si="22"/>
        <v>3.7105793965350742E-3</v>
      </c>
      <c r="D736" s="106">
        <v>64037.41</v>
      </c>
      <c r="E736" s="87">
        <f t="shared" si="23"/>
        <v>4.3404683274506084E-3</v>
      </c>
    </row>
    <row r="737" spans="1:5" x14ac:dyDescent="0.2">
      <c r="A737" s="105" t="s">
        <v>1261</v>
      </c>
      <c r="B737" s="106">
        <v>407</v>
      </c>
      <c r="C737" s="87">
        <f t="shared" si="22"/>
        <v>4.9261183360558292E-3</v>
      </c>
      <c r="D737" s="106">
        <v>63863.17</v>
      </c>
      <c r="E737" s="87">
        <f t="shared" si="23"/>
        <v>-2.7246179460629349E-3</v>
      </c>
    </row>
    <row r="738" spans="1:5" x14ac:dyDescent="0.2">
      <c r="A738" s="105" t="s">
        <v>1262</v>
      </c>
      <c r="B738" s="106">
        <v>406</v>
      </c>
      <c r="C738" s="87">
        <f t="shared" si="22"/>
        <v>-2.4600258408620235E-3</v>
      </c>
      <c r="D738" s="106">
        <v>64494.3</v>
      </c>
      <c r="E738" s="87">
        <f t="shared" si="23"/>
        <v>9.8340219118977501E-3</v>
      </c>
    </row>
    <row r="739" spans="1:5" x14ac:dyDescent="0.2">
      <c r="A739" s="105" t="s">
        <v>1263</v>
      </c>
      <c r="B739" s="106">
        <v>398</v>
      </c>
      <c r="C739" s="87">
        <f t="shared" si="22"/>
        <v>-1.9901154317294889E-2</v>
      </c>
      <c r="D739" s="106">
        <v>63718.63</v>
      </c>
      <c r="E739" s="87">
        <f t="shared" si="23"/>
        <v>-1.2099863306820779E-2</v>
      </c>
    </row>
    <row r="740" spans="1:5" x14ac:dyDescent="0.2">
      <c r="A740" s="105" t="s">
        <v>1264</v>
      </c>
      <c r="B740" s="106">
        <v>398</v>
      </c>
      <c r="C740" s="87">
        <f t="shared" si="22"/>
        <v>0</v>
      </c>
      <c r="D740" s="106">
        <v>63524.54</v>
      </c>
      <c r="E740" s="87">
        <f t="shared" si="23"/>
        <v>-3.0506965604359948E-3</v>
      </c>
    </row>
    <row r="741" spans="1:5" x14ac:dyDescent="0.2">
      <c r="A741" s="105" t="s">
        <v>1265</v>
      </c>
      <c r="B741" s="106">
        <v>390</v>
      </c>
      <c r="C741" s="87">
        <f t="shared" si="22"/>
        <v>-2.0305266160745461E-2</v>
      </c>
      <c r="D741" s="106">
        <v>64264.54</v>
      </c>
      <c r="E741" s="87">
        <f t="shared" si="23"/>
        <v>1.15817137380958E-2</v>
      </c>
    </row>
    <row r="742" spans="1:5" x14ac:dyDescent="0.2">
      <c r="A742" s="105" t="s">
        <v>1266</v>
      </c>
      <c r="B742" s="106">
        <v>405</v>
      </c>
      <c r="C742" s="87">
        <f t="shared" si="22"/>
        <v>3.7740327982846544E-2</v>
      </c>
      <c r="D742" s="106">
        <v>64906.52</v>
      </c>
      <c r="E742" s="87">
        <f t="shared" si="23"/>
        <v>9.9400792391648451E-3</v>
      </c>
    </row>
    <row r="743" spans="1:5" x14ac:dyDescent="0.2">
      <c r="A743" s="105" t="s">
        <v>1267</v>
      </c>
      <c r="B743" s="106">
        <v>408</v>
      </c>
      <c r="C743" s="87">
        <f t="shared" si="22"/>
        <v>7.3801072976227289E-3</v>
      </c>
      <c r="D743" s="106">
        <v>65685.17</v>
      </c>
      <c r="E743" s="87">
        <f t="shared" si="23"/>
        <v>1.1925096114376643E-2</v>
      </c>
    </row>
    <row r="744" spans="1:5" x14ac:dyDescent="0.2">
      <c r="A744" s="105" t="s">
        <v>415</v>
      </c>
      <c r="B744" s="106">
        <v>407</v>
      </c>
      <c r="C744" s="87">
        <f t="shared" si="22"/>
        <v>-2.4539889615668997E-3</v>
      </c>
      <c r="D744" s="106">
        <v>65716.19</v>
      </c>
      <c r="E744" s="87">
        <f t="shared" si="23"/>
        <v>4.7214124079353326E-4</v>
      </c>
    </row>
    <row r="745" spans="1:5" x14ac:dyDescent="0.2">
      <c r="A745" s="105" t="s">
        <v>1268</v>
      </c>
      <c r="B745" s="106">
        <v>406</v>
      </c>
      <c r="C745" s="87">
        <f t="shared" si="22"/>
        <v>-2.4600258408620235E-3</v>
      </c>
      <c r="D745" s="106">
        <v>64900.36</v>
      </c>
      <c r="E745" s="87">
        <f t="shared" si="23"/>
        <v>-1.249214757879713E-2</v>
      </c>
    </row>
    <row r="746" spans="1:5" x14ac:dyDescent="0.2">
      <c r="A746" s="105" t="s">
        <v>1269</v>
      </c>
      <c r="B746" s="106">
        <v>399</v>
      </c>
      <c r="C746" s="87">
        <f t="shared" si="22"/>
        <v>-1.7391742711868829E-2</v>
      </c>
      <c r="D746" s="106">
        <v>65909.37</v>
      </c>
      <c r="E746" s="87">
        <f t="shared" si="23"/>
        <v>1.5427445840058951E-2</v>
      </c>
    </row>
    <row r="747" spans="1:5" x14ac:dyDescent="0.2">
      <c r="A747" s="105" t="s">
        <v>1270</v>
      </c>
      <c r="B747" s="106">
        <v>401</v>
      </c>
      <c r="C747" s="87">
        <f t="shared" si="22"/>
        <v>5.0000104167056136E-3</v>
      </c>
      <c r="D747" s="106">
        <v>65603.53</v>
      </c>
      <c r="E747" s="87">
        <f t="shared" si="23"/>
        <v>-4.6511110522029497E-3</v>
      </c>
    </row>
    <row r="748" spans="1:5" x14ac:dyDescent="0.2">
      <c r="A748" s="105" t="s">
        <v>1271</v>
      </c>
      <c r="B748" s="106">
        <v>404</v>
      </c>
      <c r="C748" s="87">
        <f t="shared" si="22"/>
        <v>7.4534506545811396E-3</v>
      </c>
      <c r="D748" s="106">
        <v>64581.93</v>
      </c>
      <c r="E748" s="87">
        <f t="shared" si="23"/>
        <v>-1.5694855180884204E-2</v>
      </c>
    </row>
    <row r="749" spans="1:5" x14ac:dyDescent="0.2">
      <c r="A749" s="105" t="s">
        <v>1272</v>
      </c>
      <c r="B749" s="106">
        <v>396</v>
      </c>
      <c r="C749" s="87">
        <f t="shared" si="22"/>
        <v>-2.000066670666989E-2</v>
      </c>
      <c r="D749" s="106">
        <v>64420.13</v>
      </c>
      <c r="E749" s="87">
        <f t="shared" si="23"/>
        <v>-2.508488389162622E-3</v>
      </c>
    </row>
    <row r="750" spans="1:5" x14ac:dyDescent="0.2">
      <c r="A750" s="105" t="s">
        <v>1273</v>
      </c>
      <c r="B750" s="106">
        <v>406</v>
      </c>
      <c r="C750" s="87">
        <f t="shared" si="22"/>
        <v>2.4938948347251966E-2</v>
      </c>
      <c r="D750" s="106">
        <v>64948.68</v>
      </c>
      <c r="E750" s="87">
        <f t="shared" si="23"/>
        <v>8.1712576766044265E-3</v>
      </c>
    </row>
    <row r="751" spans="1:5" x14ac:dyDescent="0.2">
      <c r="A751" s="105" t="s">
        <v>1274</v>
      </c>
      <c r="B751" s="106">
        <v>390</v>
      </c>
      <c r="C751" s="87">
        <f t="shared" si="22"/>
        <v>-4.020642047804035E-2</v>
      </c>
      <c r="D751" s="106">
        <v>64374.28</v>
      </c>
      <c r="E751" s="87">
        <f t="shared" si="23"/>
        <v>-8.8832451291178671E-3</v>
      </c>
    </row>
    <row r="752" spans="1:5" x14ac:dyDescent="0.2">
      <c r="A752" s="105" t="s">
        <v>1275</v>
      </c>
      <c r="B752" s="106">
        <v>388</v>
      </c>
      <c r="C752" s="87">
        <f t="shared" si="22"/>
        <v>-5.1413995004185864E-3</v>
      </c>
      <c r="D752" s="106">
        <v>64318.55</v>
      </c>
      <c r="E752" s="87">
        <f t="shared" si="23"/>
        <v>-8.6609337106935413E-4</v>
      </c>
    </row>
    <row r="753" spans="1:5" x14ac:dyDescent="0.2">
      <c r="A753" s="105" t="s">
        <v>1276</v>
      </c>
      <c r="B753" s="106">
        <v>383</v>
      </c>
      <c r="C753" s="87">
        <f t="shared" si="22"/>
        <v>-1.2970350442627954E-2</v>
      </c>
      <c r="D753" s="106">
        <v>63588.98</v>
      </c>
      <c r="E753" s="87">
        <f t="shared" si="23"/>
        <v>-1.1407896191496292E-2</v>
      </c>
    </row>
    <row r="754" spans="1:5" x14ac:dyDescent="0.2">
      <c r="A754" s="105" t="s">
        <v>1277</v>
      </c>
      <c r="B754" s="106">
        <v>390</v>
      </c>
      <c r="C754" s="87">
        <f t="shared" si="22"/>
        <v>1.811174994304654E-2</v>
      </c>
      <c r="D754" s="106">
        <v>63658.84</v>
      </c>
      <c r="E754" s="87">
        <f t="shared" si="23"/>
        <v>1.0980149918289328E-3</v>
      </c>
    </row>
    <row r="755" spans="1:5" x14ac:dyDescent="0.2">
      <c r="A755" s="105" t="s">
        <v>1278</v>
      </c>
      <c r="B755" s="106">
        <v>380</v>
      </c>
      <c r="C755" s="87">
        <f t="shared" si="22"/>
        <v>-2.5975486403260639E-2</v>
      </c>
      <c r="D755" s="106">
        <v>64133.07</v>
      </c>
      <c r="E755" s="87">
        <f t="shared" si="23"/>
        <v>7.4219436413631712E-3</v>
      </c>
    </row>
    <row r="756" spans="1:5" x14ac:dyDescent="0.2">
      <c r="A756" s="105" t="s">
        <v>1279</v>
      </c>
      <c r="B756" s="106">
        <v>388</v>
      </c>
      <c r="C756" s="87">
        <f t="shared" si="22"/>
        <v>2.0834086902842053E-2</v>
      </c>
      <c r="D756" s="106">
        <v>62488.800000000003</v>
      </c>
      <c r="E756" s="87">
        <f t="shared" si="23"/>
        <v>-2.5972802841842224E-2</v>
      </c>
    </row>
    <row r="757" spans="1:5" x14ac:dyDescent="0.2">
      <c r="A757" s="105" t="s">
        <v>1280</v>
      </c>
      <c r="B757" s="106">
        <v>380</v>
      </c>
      <c r="C757" s="87">
        <f t="shared" si="22"/>
        <v>-2.0834086902842053E-2</v>
      </c>
      <c r="D757" s="106">
        <v>60656.75</v>
      </c>
      <c r="E757" s="87">
        <f t="shared" si="23"/>
        <v>-2.9756417175187622E-2</v>
      </c>
    </row>
    <row r="758" spans="1:5" x14ac:dyDescent="0.2">
      <c r="A758" s="105" t="s">
        <v>1281</v>
      </c>
      <c r="B758" s="106">
        <v>378</v>
      </c>
      <c r="C758" s="87">
        <f t="shared" si="22"/>
        <v>-5.2770571008435851E-3</v>
      </c>
      <c r="D758" s="106">
        <v>60044.05</v>
      </c>
      <c r="E758" s="87">
        <f t="shared" si="23"/>
        <v>-1.015246398867653E-2</v>
      </c>
    </row>
    <row r="759" spans="1:5" x14ac:dyDescent="0.2">
      <c r="A759" s="105" t="s">
        <v>1282</v>
      </c>
      <c r="B759" s="106">
        <v>372</v>
      </c>
      <c r="C759" s="87">
        <f t="shared" si="22"/>
        <v>-1.6000341346441793E-2</v>
      </c>
      <c r="D759" s="106">
        <v>61323.15</v>
      </c>
      <c r="E759" s="87">
        <f t="shared" si="23"/>
        <v>2.1078963026987196E-2</v>
      </c>
    </row>
    <row r="760" spans="1:5" x14ac:dyDescent="0.2">
      <c r="A760" s="105" t="s">
        <v>1283</v>
      </c>
      <c r="B760" s="106">
        <v>362</v>
      </c>
      <c r="C760" s="87">
        <f t="shared" si="22"/>
        <v>-2.7249642447374711E-2</v>
      </c>
      <c r="D760" s="106">
        <v>59796.72</v>
      </c>
      <c r="E760" s="87">
        <f t="shared" si="23"/>
        <v>-2.5206612593271061E-2</v>
      </c>
    </row>
    <row r="761" spans="1:5" x14ac:dyDescent="0.2">
      <c r="A761" s="105" t="s">
        <v>1284</v>
      </c>
      <c r="B761" s="106">
        <v>376</v>
      </c>
      <c r="C761" s="87">
        <f t="shared" si="22"/>
        <v>3.7944931564123152E-2</v>
      </c>
      <c r="D761" s="106">
        <v>59917.86</v>
      </c>
      <c r="E761" s="87">
        <f t="shared" si="23"/>
        <v>2.0238143315101098E-3</v>
      </c>
    </row>
    <row r="762" spans="1:5" x14ac:dyDescent="0.2">
      <c r="A762" s="105" t="s">
        <v>1285</v>
      </c>
      <c r="B762" s="106">
        <v>358</v>
      </c>
      <c r="C762" s="87">
        <f t="shared" si="22"/>
        <v>-4.9056156989194299E-2</v>
      </c>
      <c r="D762" s="106">
        <v>57908.79</v>
      </c>
      <c r="E762" s="87">
        <f t="shared" si="23"/>
        <v>-3.4105437757526502E-2</v>
      </c>
    </row>
    <row r="763" spans="1:5" x14ac:dyDescent="0.2">
      <c r="A763" s="105" t="s">
        <v>1286</v>
      </c>
      <c r="B763" s="106">
        <v>355</v>
      </c>
      <c r="C763" s="87">
        <f t="shared" si="22"/>
        <v>-8.4151969252843628E-3</v>
      </c>
      <c r="D763" s="106">
        <v>58562.7</v>
      </c>
      <c r="E763" s="87">
        <f t="shared" si="23"/>
        <v>1.1228788619604302E-2</v>
      </c>
    </row>
    <row r="764" spans="1:5" x14ac:dyDescent="0.2">
      <c r="A764" s="105" t="s">
        <v>1287</v>
      </c>
      <c r="B764" s="106">
        <v>357</v>
      </c>
      <c r="C764" s="87">
        <f t="shared" si="22"/>
        <v>5.6179923042227742E-3</v>
      </c>
      <c r="D764" s="106">
        <v>58386.18</v>
      </c>
      <c r="E764" s="87">
        <f t="shared" si="23"/>
        <v>-3.0187571535638114E-3</v>
      </c>
    </row>
    <row r="765" spans="1:5" x14ac:dyDescent="0.2">
      <c r="A765" s="105" t="s">
        <v>1288</v>
      </c>
      <c r="B765" s="106">
        <v>360</v>
      </c>
      <c r="C765" s="87">
        <f t="shared" si="22"/>
        <v>8.3682496705170806E-3</v>
      </c>
      <c r="D765" s="106">
        <v>61010.19</v>
      </c>
      <c r="E765" s="87">
        <f t="shared" si="23"/>
        <v>4.3961681408484665E-2</v>
      </c>
    </row>
    <row r="766" spans="1:5" x14ac:dyDescent="0.2">
      <c r="A766" s="105" t="s">
        <v>1289</v>
      </c>
      <c r="B766" s="106">
        <v>360</v>
      </c>
      <c r="C766" s="87">
        <f t="shared" si="22"/>
        <v>0</v>
      </c>
      <c r="D766" s="106">
        <v>61659.59</v>
      </c>
      <c r="E766" s="87">
        <f t="shared" si="23"/>
        <v>1.058787366591929E-2</v>
      </c>
    </row>
    <row r="767" spans="1:5" x14ac:dyDescent="0.2">
      <c r="A767" s="105" t="s">
        <v>416</v>
      </c>
      <c r="B767" s="106">
        <v>369</v>
      </c>
      <c r="C767" s="87">
        <f t="shared" si="22"/>
        <v>2.4692612590371255E-2</v>
      </c>
      <c r="D767" s="106">
        <v>60030.879999999997</v>
      </c>
      <c r="E767" s="87">
        <f t="shared" si="23"/>
        <v>-2.6769676575094437E-2</v>
      </c>
    </row>
    <row r="768" spans="1:5" x14ac:dyDescent="0.2">
      <c r="A768" s="105" t="s">
        <v>1290</v>
      </c>
      <c r="B768" s="106">
        <v>360</v>
      </c>
      <c r="C768" s="87">
        <f t="shared" si="22"/>
        <v>-2.4692612590371255E-2</v>
      </c>
      <c r="D768" s="106">
        <v>61141.35</v>
      </c>
      <c r="E768" s="87">
        <f t="shared" si="23"/>
        <v>1.8329300196665343E-2</v>
      </c>
    </row>
    <row r="769" spans="1:5" x14ac:dyDescent="0.2">
      <c r="A769" s="105" t="s">
        <v>1291</v>
      </c>
      <c r="B769" s="106">
        <v>373</v>
      </c>
      <c r="C769" s="87">
        <f t="shared" si="22"/>
        <v>3.5474388193660111E-2</v>
      </c>
      <c r="D769" s="106">
        <v>60414.19</v>
      </c>
      <c r="E769" s="87">
        <f t="shared" si="23"/>
        <v>-1.1964385566983538E-2</v>
      </c>
    </row>
    <row r="770" spans="1:5" x14ac:dyDescent="0.2">
      <c r="A770" s="105" t="s">
        <v>1292</v>
      </c>
      <c r="B770" s="106">
        <v>334</v>
      </c>
      <c r="C770" s="87">
        <f t="shared" si="22"/>
        <v>-0.11043742666711509</v>
      </c>
      <c r="D770" s="106">
        <v>56086.65</v>
      </c>
      <c r="E770" s="87">
        <f t="shared" si="23"/>
        <v>-7.4326194827630587E-2</v>
      </c>
    </row>
    <row r="771" spans="1:5" x14ac:dyDescent="0.2">
      <c r="A771" s="105" t="s">
        <v>1293</v>
      </c>
      <c r="B771" s="106">
        <v>365</v>
      </c>
      <c r="C771" s="87">
        <f t="shared" si="22"/>
        <v>8.8756360605790618E-2</v>
      </c>
      <c r="D771" s="106">
        <v>62826.09</v>
      </c>
      <c r="E771" s="87">
        <f t="shared" si="23"/>
        <v>0.11347261676493403</v>
      </c>
    </row>
    <row r="772" spans="1:5" x14ac:dyDescent="0.2">
      <c r="A772" s="105" t="s">
        <v>1294</v>
      </c>
      <c r="B772" s="106">
        <v>377</v>
      </c>
      <c r="C772" s="87">
        <f t="shared" si="22"/>
        <v>3.2347833865519426E-2</v>
      </c>
      <c r="D772" s="106">
        <v>64384.3</v>
      </c>
      <c r="E772" s="87">
        <f t="shared" si="23"/>
        <v>2.4499381508817919E-2</v>
      </c>
    </row>
    <row r="773" spans="1:5" x14ac:dyDescent="0.2">
      <c r="A773" s="105" t="s">
        <v>1295</v>
      </c>
      <c r="B773" s="106">
        <v>385</v>
      </c>
      <c r="C773" s="87">
        <f t="shared" ref="C773:C836" si="24">LN(B773)-LN(B772)</f>
        <v>2.0998146839773746E-2</v>
      </c>
      <c r="D773" s="106">
        <v>63605.74</v>
      </c>
      <c r="E773" s="87">
        <f t="shared" ref="E773:E836" si="25">LN(D773)-LN(D772)</f>
        <v>-1.2166096723131403E-2</v>
      </c>
    </row>
    <row r="774" spans="1:5" x14ac:dyDescent="0.2">
      <c r="A774" s="105" t="s">
        <v>1296</v>
      </c>
      <c r="B774" s="106">
        <v>390</v>
      </c>
      <c r="C774" s="87">
        <f t="shared" si="24"/>
        <v>1.2903404835907573E-2</v>
      </c>
      <c r="D774" s="106">
        <v>65696.56</v>
      </c>
      <c r="E774" s="87">
        <f t="shared" si="25"/>
        <v>3.2342847065274682E-2</v>
      </c>
    </row>
    <row r="775" spans="1:5" x14ac:dyDescent="0.2">
      <c r="A775" s="105" t="s">
        <v>1297</v>
      </c>
      <c r="B775" s="106">
        <v>390</v>
      </c>
      <c r="C775" s="87">
        <f t="shared" si="24"/>
        <v>0</v>
      </c>
      <c r="D775" s="106">
        <v>66409.08</v>
      </c>
      <c r="E775" s="87">
        <f t="shared" si="25"/>
        <v>1.078722921007369E-2</v>
      </c>
    </row>
    <row r="776" spans="1:5" x14ac:dyDescent="0.2">
      <c r="A776" s="105" t="s">
        <v>1298</v>
      </c>
      <c r="B776" s="106">
        <v>398</v>
      </c>
      <c r="C776" s="87">
        <f t="shared" si="24"/>
        <v>2.0305266160745461E-2</v>
      </c>
      <c r="D776" s="106">
        <v>67607.05</v>
      </c>
      <c r="E776" s="87">
        <f t="shared" si="25"/>
        <v>1.7878473430606334E-2</v>
      </c>
    </row>
    <row r="777" spans="1:5" x14ac:dyDescent="0.2">
      <c r="A777" s="105" t="s">
        <v>1299</v>
      </c>
      <c r="B777" s="106">
        <v>397</v>
      </c>
      <c r="C777" s="87">
        <f t="shared" si="24"/>
        <v>-2.5157245972469156E-3</v>
      </c>
      <c r="D777" s="106">
        <v>67532.039999999994</v>
      </c>
      <c r="E777" s="87">
        <f t="shared" si="25"/>
        <v>-1.1101156253658928E-3</v>
      </c>
    </row>
    <row r="778" spans="1:5" x14ac:dyDescent="0.2">
      <c r="A778" s="105" t="s">
        <v>1300</v>
      </c>
      <c r="B778" s="106">
        <v>396</v>
      </c>
      <c r="C778" s="87">
        <f t="shared" si="24"/>
        <v>-2.5220694327101612E-3</v>
      </c>
      <c r="D778" s="106">
        <v>66094.22</v>
      </c>
      <c r="E778" s="87">
        <f t="shared" si="25"/>
        <v>-2.1520852160085369E-2</v>
      </c>
    </row>
    <row r="779" spans="1:5" x14ac:dyDescent="0.2">
      <c r="A779" s="105" t="s">
        <v>1301</v>
      </c>
      <c r="B779" s="106">
        <v>414</v>
      </c>
      <c r="C779" s="87">
        <f t="shared" si="24"/>
        <v>4.4451762570833608E-2</v>
      </c>
      <c r="D779" s="106">
        <v>67618</v>
      </c>
      <c r="E779" s="87">
        <f t="shared" si="25"/>
        <v>2.2792920027640662E-2</v>
      </c>
    </row>
    <row r="780" spans="1:5" x14ac:dyDescent="0.2">
      <c r="A780" s="105" t="s">
        <v>1302</v>
      </c>
      <c r="B780" s="106">
        <v>415</v>
      </c>
      <c r="C780" s="87">
        <f t="shared" si="24"/>
        <v>2.4125464053836865E-3</v>
      </c>
      <c r="D780" s="106">
        <v>67939.86</v>
      </c>
      <c r="E780" s="87">
        <f t="shared" si="25"/>
        <v>4.7486822944531326E-3</v>
      </c>
    </row>
    <row r="781" spans="1:5" x14ac:dyDescent="0.2">
      <c r="A781" s="105" t="s">
        <v>1303</v>
      </c>
      <c r="B781" s="106">
        <v>412</v>
      </c>
      <c r="C781" s="87">
        <f t="shared" si="24"/>
        <v>-7.2551708811712246E-3</v>
      </c>
      <c r="D781" s="106">
        <v>68491.39</v>
      </c>
      <c r="E781" s="87">
        <f t="shared" si="25"/>
        <v>8.0851418488698812E-3</v>
      </c>
    </row>
    <row r="782" spans="1:5" x14ac:dyDescent="0.2">
      <c r="A782" s="105" t="s">
        <v>1304</v>
      </c>
      <c r="B782" s="106">
        <v>410</v>
      </c>
      <c r="C782" s="87">
        <f t="shared" si="24"/>
        <v>-4.8661896511728031E-3</v>
      </c>
      <c r="D782" s="106">
        <v>68071.990000000005</v>
      </c>
      <c r="E782" s="87">
        <f t="shared" si="25"/>
        <v>-6.1422222934748305E-3</v>
      </c>
    </row>
    <row r="783" spans="1:5" x14ac:dyDescent="0.2">
      <c r="A783" s="105" t="s">
        <v>1305</v>
      </c>
      <c r="B783" s="106">
        <v>395</v>
      </c>
      <c r="C783" s="87">
        <f t="shared" si="24"/>
        <v>-3.7271394797231849E-2</v>
      </c>
      <c r="D783" s="106">
        <v>67090.36</v>
      </c>
      <c r="E783" s="87">
        <f t="shared" si="25"/>
        <v>-1.4525454157199746E-2</v>
      </c>
    </row>
    <row r="784" spans="1:5" x14ac:dyDescent="0.2">
      <c r="A784" s="105" t="s">
        <v>1306</v>
      </c>
      <c r="B784" s="106">
        <v>401</v>
      </c>
      <c r="C784" s="87">
        <f t="shared" si="24"/>
        <v>1.5075662405447332E-2</v>
      </c>
      <c r="D784" s="106">
        <v>67149.47</v>
      </c>
      <c r="E784" s="87">
        <f t="shared" si="25"/>
        <v>8.8066267396591513E-4</v>
      </c>
    </row>
    <row r="785" spans="1:5" x14ac:dyDescent="0.2">
      <c r="A785" s="105" t="s">
        <v>1307</v>
      </c>
      <c r="B785" s="106">
        <v>404</v>
      </c>
      <c r="C785" s="87">
        <f t="shared" si="24"/>
        <v>7.4534506545811396E-3</v>
      </c>
      <c r="D785" s="106">
        <v>68551</v>
      </c>
      <c r="E785" s="87">
        <f t="shared" si="25"/>
        <v>2.0656963633237879E-2</v>
      </c>
    </row>
    <row r="786" spans="1:5" x14ac:dyDescent="0.2">
      <c r="A786" s="105" t="s">
        <v>1308</v>
      </c>
      <c r="B786" s="106">
        <v>405</v>
      </c>
      <c r="C786" s="87">
        <f t="shared" si="24"/>
        <v>2.4721891453882705E-3</v>
      </c>
      <c r="D786" s="106">
        <v>68875.710000000006</v>
      </c>
      <c r="E786" s="87">
        <f t="shared" si="25"/>
        <v>4.7255821559204492E-3</v>
      </c>
    </row>
    <row r="787" spans="1:5" x14ac:dyDescent="0.2">
      <c r="A787" s="105" t="s">
        <v>417</v>
      </c>
      <c r="B787" s="106">
        <v>393</v>
      </c>
      <c r="C787" s="87">
        <f t="shared" si="24"/>
        <v>-3.0077455237277562E-2</v>
      </c>
      <c r="D787" s="106">
        <v>67972.259999999995</v>
      </c>
      <c r="E787" s="87">
        <f t="shared" si="25"/>
        <v>-1.320389518089371E-2</v>
      </c>
    </row>
    <row r="788" spans="1:5" x14ac:dyDescent="0.2">
      <c r="A788" s="105" t="s">
        <v>1309</v>
      </c>
      <c r="B788" s="106">
        <v>389</v>
      </c>
      <c r="C788" s="87">
        <f t="shared" si="24"/>
        <v>-1.02302682508153E-2</v>
      </c>
      <c r="D788" s="106">
        <v>67418.41</v>
      </c>
      <c r="E788" s="87">
        <f t="shared" si="25"/>
        <v>-8.181554747556774E-3</v>
      </c>
    </row>
    <row r="789" spans="1:5" x14ac:dyDescent="0.2">
      <c r="A789" s="105" t="s">
        <v>1310</v>
      </c>
      <c r="B789" s="106">
        <v>388</v>
      </c>
      <c r="C789" s="87">
        <f t="shared" si="24"/>
        <v>-2.5740039951722693E-3</v>
      </c>
      <c r="D789" s="106">
        <v>66892.11</v>
      </c>
      <c r="E789" s="87">
        <f t="shared" si="25"/>
        <v>-7.8371030621298132E-3</v>
      </c>
    </row>
    <row r="790" spans="1:5" x14ac:dyDescent="0.2">
      <c r="A790" s="105" t="s">
        <v>1311</v>
      </c>
      <c r="B790" s="106">
        <v>394</v>
      </c>
      <c r="C790" s="87">
        <f t="shared" si="24"/>
        <v>1.5345569674660275E-2</v>
      </c>
      <c r="D790" s="106">
        <v>68131.210000000006</v>
      </c>
      <c r="E790" s="87">
        <f t="shared" si="25"/>
        <v>1.8354381832947908E-2</v>
      </c>
    </row>
    <row r="791" spans="1:5" x14ac:dyDescent="0.2">
      <c r="A791" s="105" t="s">
        <v>1312</v>
      </c>
      <c r="B791" s="106">
        <v>396</v>
      </c>
      <c r="C791" s="87">
        <f t="shared" si="24"/>
        <v>5.0633019565466952E-3</v>
      </c>
      <c r="D791" s="106">
        <v>68035.19</v>
      </c>
      <c r="E791" s="87">
        <f t="shared" si="25"/>
        <v>-1.4103334730997119E-3</v>
      </c>
    </row>
    <row r="792" spans="1:5" x14ac:dyDescent="0.2">
      <c r="A792" s="105" t="s">
        <v>1313</v>
      </c>
      <c r="B792" s="106">
        <v>395</v>
      </c>
      <c r="C792" s="87">
        <f t="shared" si="24"/>
        <v>-2.5284463533585821E-3</v>
      </c>
      <c r="D792" s="106">
        <v>67047.399999999994</v>
      </c>
      <c r="E792" s="87">
        <f t="shared" si="25"/>
        <v>-1.4625239375385846E-2</v>
      </c>
    </row>
    <row r="793" spans="1:5" x14ac:dyDescent="0.2">
      <c r="A793" s="105" t="s">
        <v>1314</v>
      </c>
      <c r="B793" s="106">
        <v>385</v>
      </c>
      <c r="C793" s="87">
        <f t="shared" si="24"/>
        <v>-2.5642430613337375E-2</v>
      </c>
      <c r="D793" s="106">
        <v>66220.350000000006</v>
      </c>
      <c r="E793" s="87">
        <f t="shared" si="25"/>
        <v>-1.2412014426379514E-2</v>
      </c>
    </row>
    <row r="794" spans="1:5" x14ac:dyDescent="0.2">
      <c r="A794" s="105" t="s">
        <v>1315</v>
      </c>
      <c r="B794" s="106">
        <v>402</v>
      </c>
      <c r="C794" s="87">
        <f t="shared" si="24"/>
        <v>4.3208754331236499E-2</v>
      </c>
      <c r="D794" s="106">
        <v>69265.350000000006</v>
      </c>
      <c r="E794" s="87">
        <f t="shared" si="25"/>
        <v>4.4956963636780145E-2</v>
      </c>
    </row>
    <row r="795" spans="1:5" x14ac:dyDescent="0.2">
      <c r="A795" s="105" t="s">
        <v>1316</v>
      </c>
      <c r="B795" s="106">
        <v>402</v>
      </c>
      <c r="C795" s="87">
        <f t="shared" si="24"/>
        <v>0</v>
      </c>
      <c r="D795" s="106">
        <v>70419.86</v>
      </c>
      <c r="E795" s="87">
        <f t="shared" si="25"/>
        <v>1.6530544499184785E-2</v>
      </c>
    </row>
    <row r="796" spans="1:5" x14ac:dyDescent="0.2">
      <c r="A796" s="105" t="s">
        <v>1317</v>
      </c>
      <c r="B796" s="106">
        <v>405</v>
      </c>
      <c r="C796" s="87">
        <f t="shared" si="24"/>
        <v>7.4349784875176184E-3</v>
      </c>
      <c r="D796" s="106">
        <v>70733.070000000007</v>
      </c>
      <c r="E796" s="87">
        <f t="shared" si="25"/>
        <v>4.4378889485621187E-3</v>
      </c>
    </row>
    <row r="797" spans="1:5" x14ac:dyDescent="0.2">
      <c r="A797" s="105" t="s">
        <v>1318</v>
      </c>
      <c r="B797" s="106">
        <v>409</v>
      </c>
      <c r="C797" s="87">
        <f t="shared" si="24"/>
        <v>9.8280889362634127E-3</v>
      </c>
      <c r="D797" s="106">
        <v>70911.850000000006</v>
      </c>
      <c r="E797" s="87">
        <f t="shared" si="25"/>
        <v>2.5243417827720549E-3</v>
      </c>
    </row>
    <row r="798" spans="1:5" x14ac:dyDescent="0.2">
      <c r="A798" s="105" t="s">
        <v>1319</v>
      </c>
      <c r="B798" s="106">
        <v>410</v>
      </c>
      <c r="C798" s="87">
        <f t="shared" si="24"/>
        <v>2.4420036555516944E-3</v>
      </c>
      <c r="D798" s="106">
        <v>72250.41</v>
      </c>
      <c r="E798" s="87">
        <f t="shared" si="25"/>
        <v>1.8700445332230586E-2</v>
      </c>
    </row>
    <row r="799" spans="1:5" x14ac:dyDescent="0.2">
      <c r="A799" s="105" t="s">
        <v>1320</v>
      </c>
      <c r="B799" s="106">
        <v>406</v>
      </c>
      <c r="C799" s="87">
        <f t="shared" si="24"/>
        <v>-9.8040000966213015E-3</v>
      </c>
      <c r="D799" s="106">
        <v>72563.289999999994</v>
      </c>
      <c r="E799" s="87">
        <f t="shared" si="25"/>
        <v>4.3211448481574877E-3</v>
      </c>
    </row>
    <row r="800" spans="1:5" x14ac:dyDescent="0.2">
      <c r="A800" s="105" t="s">
        <v>1321</v>
      </c>
      <c r="B800" s="106">
        <v>405</v>
      </c>
      <c r="C800" s="87">
        <f t="shared" si="24"/>
        <v>-2.4660924951938057E-3</v>
      </c>
      <c r="D800" s="106">
        <v>73245.279999999999</v>
      </c>
      <c r="E800" s="87">
        <f t="shared" si="25"/>
        <v>9.3546623958840058E-3</v>
      </c>
    </row>
    <row r="801" spans="1:5" x14ac:dyDescent="0.2">
      <c r="A801" s="105" t="s">
        <v>1322</v>
      </c>
      <c r="B801" s="106">
        <v>395</v>
      </c>
      <c r="C801" s="87">
        <f t="shared" si="24"/>
        <v>-2.5001302205416742E-2</v>
      </c>
      <c r="D801" s="106">
        <v>73334.240000000005</v>
      </c>
      <c r="E801" s="87">
        <f t="shared" si="25"/>
        <v>1.2138122832201503E-3</v>
      </c>
    </row>
    <row r="802" spans="1:5" x14ac:dyDescent="0.2">
      <c r="A802" s="105" t="s">
        <v>1323</v>
      </c>
      <c r="B802" s="106">
        <v>383</v>
      </c>
      <c r="C802" s="87">
        <f t="shared" si="24"/>
        <v>-3.0850775720476342E-2</v>
      </c>
      <c r="D802" s="106">
        <v>71706.570000000007</v>
      </c>
      <c r="E802" s="87">
        <f t="shared" si="25"/>
        <v>-2.2445246037385402E-2</v>
      </c>
    </row>
    <row r="803" spans="1:5" x14ac:dyDescent="0.2">
      <c r="A803" s="105" t="s">
        <v>1324</v>
      </c>
      <c r="B803" s="106">
        <v>376</v>
      </c>
      <c r="C803" s="87">
        <f t="shared" si="24"/>
        <v>-1.8445845790751036E-2</v>
      </c>
      <c r="D803" s="106">
        <v>70411.91</v>
      </c>
      <c r="E803" s="87">
        <f t="shared" si="25"/>
        <v>-1.8219950215108582E-2</v>
      </c>
    </row>
    <row r="804" spans="1:5" x14ac:dyDescent="0.2">
      <c r="A804" s="105" t="s">
        <v>1325</v>
      </c>
      <c r="B804" s="106">
        <v>385</v>
      </c>
      <c r="C804" s="87">
        <f t="shared" si="24"/>
        <v>2.3654190897890004E-2</v>
      </c>
      <c r="D804" s="106">
        <v>70850.990000000005</v>
      </c>
      <c r="E804" s="87">
        <f t="shared" si="25"/>
        <v>6.2165142301537912E-3</v>
      </c>
    </row>
    <row r="805" spans="1:5" x14ac:dyDescent="0.2">
      <c r="A805" s="105" t="s">
        <v>1326</v>
      </c>
      <c r="B805" s="106">
        <v>390</v>
      </c>
      <c r="C805" s="87">
        <f t="shared" si="24"/>
        <v>1.2903404835907573E-2</v>
      </c>
      <c r="D805" s="106">
        <v>70750.990000000005</v>
      </c>
      <c r="E805" s="87">
        <f t="shared" si="25"/>
        <v>-1.4124098635370785E-3</v>
      </c>
    </row>
    <row r="806" spans="1:5" x14ac:dyDescent="0.2">
      <c r="A806" s="105" t="s">
        <v>1327</v>
      </c>
      <c r="B806" s="106">
        <v>390</v>
      </c>
      <c r="C806" s="87">
        <f t="shared" si="24"/>
        <v>0</v>
      </c>
      <c r="D806" s="106">
        <v>70469.03</v>
      </c>
      <c r="E806" s="87">
        <f t="shared" si="25"/>
        <v>-3.9932068366894669E-3</v>
      </c>
    </row>
    <row r="807" spans="1:5" x14ac:dyDescent="0.2">
      <c r="A807" s="105" t="s">
        <v>1328</v>
      </c>
      <c r="B807" s="106">
        <v>389</v>
      </c>
      <c r="C807" s="87">
        <f t="shared" si="24"/>
        <v>-2.5673955052463171E-3</v>
      </c>
      <c r="D807" s="106">
        <v>70077.55</v>
      </c>
      <c r="E807" s="87">
        <f t="shared" si="25"/>
        <v>-5.5708365502624702E-3</v>
      </c>
    </row>
    <row r="808" spans="1:5" x14ac:dyDescent="0.2">
      <c r="A808" s="105" t="s">
        <v>1329</v>
      </c>
      <c r="B808" s="106">
        <v>385</v>
      </c>
      <c r="C808" s="87">
        <f t="shared" si="24"/>
        <v>-1.0336009330661255E-2</v>
      </c>
      <c r="D808" s="106">
        <v>69296.259999999995</v>
      </c>
      <c r="E808" s="87">
        <f t="shared" si="25"/>
        <v>-1.1211549485805605E-2</v>
      </c>
    </row>
    <row r="809" spans="1:5" x14ac:dyDescent="0.2">
      <c r="A809" s="105" t="s">
        <v>1330</v>
      </c>
      <c r="B809" s="106">
        <v>384</v>
      </c>
      <c r="C809" s="87">
        <f t="shared" si="24"/>
        <v>-2.6007817000577305E-3</v>
      </c>
      <c r="D809" s="106">
        <v>69148.97</v>
      </c>
      <c r="E809" s="87">
        <f t="shared" si="25"/>
        <v>-2.127773641177555E-3</v>
      </c>
    </row>
    <row r="810" spans="1:5" x14ac:dyDescent="0.2">
      <c r="A810" s="105" t="s">
        <v>1331</v>
      </c>
      <c r="B810" s="106">
        <v>385</v>
      </c>
      <c r="C810" s="87">
        <f t="shared" si="24"/>
        <v>2.6007817000577305E-3</v>
      </c>
      <c r="D810" s="106">
        <v>68737.48</v>
      </c>
      <c r="E810" s="87">
        <f t="shared" si="25"/>
        <v>-5.9685519724759217E-3</v>
      </c>
    </row>
    <row r="811" spans="1:5" x14ac:dyDescent="0.2">
      <c r="A811" s="105" t="s">
        <v>1332</v>
      </c>
      <c r="B811" s="106">
        <v>377</v>
      </c>
      <c r="C811" s="87">
        <f t="shared" si="24"/>
        <v>-2.0998146839773746E-2</v>
      </c>
      <c r="D811" s="106">
        <v>68090.429999999993</v>
      </c>
      <c r="E811" s="87">
        <f t="shared" si="25"/>
        <v>-9.4579362258659927E-3</v>
      </c>
    </row>
    <row r="812" spans="1:5" x14ac:dyDescent="0.2">
      <c r="A812" s="105" t="s">
        <v>1333</v>
      </c>
      <c r="B812" s="106">
        <v>369</v>
      </c>
      <c r="C812" s="87">
        <f t="shared" si="24"/>
        <v>-2.1448543407483811E-2</v>
      </c>
      <c r="D812" s="106">
        <v>68120.160000000003</v>
      </c>
      <c r="E812" s="87">
        <f t="shared" si="25"/>
        <v>4.3652994193976724E-4</v>
      </c>
    </row>
    <row r="813" spans="1:5" x14ac:dyDescent="0.2">
      <c r="A813" s="105" t="s">
        <v>1334</v>
      </c>
      <c r="B813" s="106">
        <v>389</v>
      </c>
      <c r="C813" s="87">
        <f t="shared" si="24"/>
        <v>5.2782699577918812E-2</v>
      </c>
      <c r="D813" s="106">
        <v>67756.649999999994</v>
      </c>
      <c r="E813" s="87">
        <f t="shared" si="25"/>
        <v>-5.3505946634970769E-3</v>
      </c>
    </row>
    <row r="814" spans="1:5" x14ac:dyDescent="0.2">
      <c r="A814" s="105" t="s">
        <v>1335</v>
      </c>
      <c r="B814" s="106">
        <v>390</v>
      </c>
      <c r="C814" s="87">
        <f t="shared" si="24"/>
        <v>2.5673955052463171E-3</v>
      </c>
      <c r="D814" s="106">
        <v>67163.259999999995</v>
      </c>
      <c r="E814" s="87">
        <f t="shared" si="25"/>
        <v>-8.7962380951065455E-3</v>
      </c>
    </row>
    <row r="815" spans="1:5" x14ac:dyDescent="0.2">
      <c r="A815" s="105" t="s">
        <v>1336</v>
      </c>
      <c r="B815" s="106">
        <v>385</v>
      </c>
      <c r="C815" s="87">
        <f t="shared" si="24"/>
        <v>-1.2903404835907573E-2</v>
      </c>
      <c r="D815" s="106">
        <v>67069.570000000007</v>
      </c>
      <c r="E815" s="87">
        <f t="shared" si="25"/>
        <v>-1.3959329504391604E-3</v>
      </c>
    </row>
    <row r="816" spans="1:5" x14ac:dyDescent="0.2">
      <c r="A816" s="105" t="s">
        <v>1337</v>
      </c>
      <c r="B816" s="106">
        <v>392</v>
      </c>
      <c r="C816" s="87">
        <f t="shared" si="24"/>
        <v>1.8018505502677584E-2</v>
      </c>
      <c r="D816" s="106">
        <v>67153.100000000006</v>
      </c>
      <c r="E816" s="87">
        <f t="shared" si="25"/>
        <v>1.2446483262973373E-3</v>
      </c>
    </row>
    <row r="817" spans="1:5" x14ac:dyDescent="0.2">
      <c r="A817" s="105" t="s">
        <v>1338</v>
      </c>
      <c r="B817" s="106">
        <v>389</v>
      </c>
      <c r="C817" s="87">
        <f t="shared" si="24"/>
        <v>-7.6824961720163287E-3</v>
      </c>
      <c r="D817" s="106">
        <v>67984.08</v>
      </c>
      <c r="E817" s="87">
        <f t="shared" si="25"/>
        <v>1.2298472914007874E-2</v>
      </c>
    </row>
    <row r="818" spans="1:5" x14ac:dyDescent="0.2">
      <c r="A818" s="105" t="s">
        <v>1339</v>
      </c>
      <c r="B818" s="106">
        <v>388</v>
      </c>
      <c r="C818" s="87">
        <f t="shared" si="24"/>
        <v>-2.5740039951722693E-3</v>
      </c>
      <c r="D818" s="106">
        <v>66570.63</v>
      </c>
      <c r="E818" s="87">
        <f t="shared" si="25"/>
        <v>-2.1010070829005301E-2</v>
      </c>
    </row>
    <row r="819" spans="1:5" x14ac:dyDescent="0.2">
      <c r="A819" s="105" t="s">
        <v>1340</v>
      </c>
      <c r="B819" s="106">
        <v>387</v>
      </c>
      <c r="C819" s="87">
        <f t="shared" si="24"/>
        <v>-2.5806465934916645E-3</v>
      </c>
      <c r="D819" s="106">
        <v>67902.92</v>
      </c>
      <c r="E819" s="87">
        <f t="shared" si="25"/>
        <v>1.9815548768020719E-2</v>
      </c>
    </row>
    <row r="820" spans="1:5" x14ac:dyDescent="0.2">
      <c r="A820" s="105" t="s">
        <v>1341</v>
      </c>
      <c r="B820" s="106">
        <v>390</v>
      </c>
      <c r="C820" s="87">
        <f t="shared" si="24"/>
        <v>7.7220460939102509E-3</v>
      </c>
      <c r="D820" s="106">
        <v>68230.100000000006</v>
      </c>
      <c r="E820" s="87">
        <f t="shared" si="25"/>
        <v>4.8067783989633739E-3</v>
      </c>
    </row>
    <row r="821" spans="1:5" x14ac:dyDescent="0.2">
      <c r="A821" s="105" t="s">
        <v>1342</v>
      </c>
      <c r="B821" s="106">
        <v>383</v>
      </c>
      <c r="C821" s="87">
        <f t="shared" si="24"/>
        <v>-1.811174994304654E-2</v>
      </c>
      <c r="D821" s="106">
        <v>68368.83</v>
      </c>
      <c r="E821" s="87">
        <f t="shared" si="25"/>
        <v>2.0312025533062439E-3</v>
      </c>
    </row>
    <row r="822" spans="1:5" x14ac:dyDescent="0.2">
      <c r="A822" s="105" t="s">
        <v>1343</v>
      </c>
      <c r="B822" s="106">
        <v>378</v>
      </c>
      <c r="C822" s="87">
        <f t="shared" si="24"/>
        <v>-1.3140793561057684E-2</v>
      </c>
      <c r="D822" s="106">
        <v>68326.8</v>
      </c>
      <c r="E822" s="87">
        <f t="shared" si="25"/>
        <v>-6.1494286722130198E-4</v>
      </c>
    </row>
    <row r="823" spans="1:5" x14ac:dyDescent="0.2">
      <c r="A823" s="105" t="s">
        <v>1344</v>
      </c>
      <c r="B823" s="106">
        <v>370</v>
      </c>
      <c r="C823" s="87">
        <f t="shared" si="24"/>
        <v>-2.1391189981318171E-2</v>
      </c>
      <c r="D823" s="106">
        <v>68729.56</v>
      </c>
      <c r="E823" s="87">
        <f t="shared" si="25"/>
        <v>5.8773071073652261E-3</v>
      </c>
    </row>
    <row r="824" spans="1:5" x14ac:dyDescent="0.2">
      <c r="A824" s="105" t="s">
        <v>1345</v>
      </c>
      <c r="B824" s="106">
        <v>375</v>
      </c>
      <c r="C824" s="87">
        <f t="shared" si="24"/>
        <v>1.3423020332140823E-2</v>
      </c>
      <c r="D824" s="106">
        <v>68979.12</v>
      </c>
      <c r="E824" s="87">
        <f t="shared" si="25"/>
        <v>3.624466855693953E-3</v>
      </c>
    </row>
    <row r="825" spans="1:5" x14ac:dyDescent="0.2">
      <c r="A825" s="105" t="s">
        <v>1346</v>
      </c>
      <c r="B825" s="106">
        <v>367</v>
      </c>
      <c r="C825" s="87">
        <f t="shared" si="24"/>
        <v>-2.1564177915839977E-2</v>
      </c>
      <c r="D825" s="106">
        <v>67835.38</v>
      </c>
      <c r="E825" s="87">
        <f t="shared" si="25"/>
        <v>-1.6719962356809503E-2</v>
      </c>
    </row>
    <row r="826" spans="1:5" x14ac:dyDescent="0.2">
      <c r="A826" s="105" t="s">
        <v>1347</v>
      </c>
      <c r="B826" s="106">
        <v>374</v>
      </c>
      <c r="C826" s="87">
        <f t="shared" si="24"/>
        <v>1.8893949359961582E-2</v>
      </c>
      <c r="D826" s="106">
        <v>67730.009999999995</v>
      </c>
      <c r="E826" s="87">
        <f t="shared" si="25"/>
        <v>-1.5545268776850918E-3</v>
      </c>
    </row>
    <row r="827" spans="1:5" x14ac:dyDescent="0.2">
      <c r="A827" s="105" t="s">
        <v>1348</v>
      </c>
      <c r="B827" s="106">
        <v>367</v>
      </c>
      <c r="C827" s="87">
        <f t="shared" si="24"/>
        <v>-1.8893949359961582E-2</v>
      </c>
      <c r="D827" s="106">
        <v>68203.86</v>
      </c>
      <c r="E827" s="87">
        <f t="shared" si="25"/>
        <v>6.9718006164034563E-3</v>
      </c>
    </row>
    <row r="828" spans="1:5" x14ac:dyDescent="0.2">
      <c r="A828" s="105" t="s">
        <v>419</v>
      </c>
      <c r="B828" s="106">
        <v>373</v>
      </c>
      <c r="C828" s="87">
        <f t="shared" si="24"/>
        <v>1.6216571589245277E-2</v>
      </c>
      <c r="D828" s="106">
        <v>68513.009999999995</v>
      </c>
      <c r="E828" s="87">
        <f t="shared" si="25"/>
        <v>4.5224927533631387E-3</v>
      </c>
    </row>
    <row r="829" spans="1:5" x14ac:dyDescent="0.2">
      <c r="A829" s="105" t="s">
        <v>1349</v>
      </c>
      <c r="B829" s="106">
        <v>374</v>
      </c>
      <c r="C829" s="87">
        <f t="shared" si="24"/>
        <v>2.6773777707163049E-3</v>
      </c>
      <c r="D829" s="106">
        <v>67814.89</v>
      </c>
      <c r="E829" s="87">
        <f t="shared" si="25"/>
        <v>-1.0241866888282658E-2</v>
      </c>
    </row>
    <row r="830" spans="1:5" x14ac:dyDescent="0.2">
      <c r="A830" s="105" t="s">
        <v>1350</v>
      </c>
      <c r="B830" s="106">
        <v>374</v>
      </c>
      <c r="C830" s="87">
        <f t="shared" si="24"/>
        <v>0</v>
      </c>
      <c r="D830" s="106">
        <v>66648.649999999994</v>
      </c>
      <c r="E830" s="87">
        <f t="shared" si="25"/>
        <v>-1.7346995997531423E-2</v>
      </c>
    </row>
    <row r="831" spans="1:5" x14ac:dyDescent="0.2">
      <c r="A831" s="105" t="s">
        <v>1351</v>
      </c>
      <c r="B831" s="106">
        <v>381</v>
      </c>
      <c r="C831" s="87">
        <f t="shared" si="24"/>
        <v>1.8543577712168968E-2</v>
      </c>
      <c r="D831" s="106">
        <v>66440.820000000007</v>
      </c>
      <c r="E831" s="87">
        <f t="shared" si="25"/>
        <v>-3.1231647242080385E-3</v>
      </c>
    </row>
    <row r="832" spans="1:5" x14ac:dyDescent="0.2">
      <c r="A832" s="105" t="s">
        <v>1352</v>
      </c>
      <c r="B832" s="106">
        <v>390</v>
      </c>
      <c r="C832" s="87">
        <f t="shared" si="24"/>
        <v>2.3347363996991E-2</v>
      </c>
      <c r="D832" s="106">
        <v>68860.62</v>
      </c>
      <c r="E832" s="87">
        <f t="shared" si="25"/>
        <v>3.5772835014014959E-2</v>
      </c>
    </row>
    <row r="833" spans="1:5" x14ac:dyDescent="0.2">
      <c r="A833" s="105" t="s">
        <v>1353</v>
      </c>
      <c r="B833" s="106">
        <v>382</v>
      </c>
      <c r="C833" s="87">
        <f t="shared" si="24"/>
        <v>-2.0726130517116914E-2</v>
      </c>
      <c r="D833" s="106">
        <v>69124.84</v>
      </c>
      <c r="E833" s="87">
        <f t="shared" si="25"/>
        <v>3.8296835468205614E-3</v>
      </c>
    </row>
    <row r="834" spans="1:5" x14ac:dyDescent="0.2">
      <c r="A834" s="105" t="s">
        <v>1354</v>
      </c>
      <c r="B834" s="106">
        <v>380</v>
      </c>
      <c r="C834" s="87">
        <f t="shared" si="24"/>
        <v>-5.2493558861437251E-3</v>
      </c>
      <c r="D834" s="106">
        <v>69573.78</v>
      </c>
      <c r="E834" s="87">
        <f t="shared" si="25"/>
        <v>6.4736270316352318E-3</v>
      </c>
    </row>
    <row r="835" spans="1:5" x14ac:dyDescent="0.2">
      <c r="A835" s="105" t="s">
        <v>1355</v>
      </c>
      <c r="B835" s="106">
        <v>377</v>
      </c>
      <c r="C835" s="87">
        <f t="shared" si="24"/>
        <v>-7.9260652724206793E-3</v>
      </c>
      <c r="D835" s="106">
        <v>69339.63</v>
      </c>
      <c r="E835" s="87">
        <f t="shared" si="25"/>
        <v>-3.3711680068186922E-3</v>
      </c>
    </row>
    <row r="836" spans="1:5" x14ac:dyDescent="0.2">
      <c r="A836" s="105" t="s">
        <v>1356</v>
      </c>
      <c r="B836" s="106">
        <v>395</v>
      </c>
      <c r="C836" s="87">
        <f t="shared" si="24"/>
        <v>4.6640577453111121E-2</v>
      </c>
      <c r="D836" s="106">
        <v>69415.67</v>
      </c>
      <c r="E836" s="87">
        <f t="shared" si="25"/>
        <v>1.0960303154128326E-3</v>
      </c>
    </row>
    <row r="837" spans="1:5" x14ac:dyDescent="0.2">
      <c r="A837" s="105" t="s">
        <v>1357</v>
      </c>
      <c r="B837" s="106">
        <v>391</v>
      </c>
      <c r="C837" s="87">
        <f t="shared" ref="C837:C900" si="26">LN(B837)-LN(B836)</f>
        <v>-1.0178204915756162E-2</v>
      </c>
      <c r="D837" s="106">
        <v>70145.47</v>
      </c>
      <c r="E837" s="87">
        <f t="shared" ref="E837:E900" si="27">LN(D837)-LN(D836)</f>
        <v>1.0458594021917733E-2</v>
      </c>
    </row>
    <row r="838" spans="1:5" x14ac:dyDescent="0.2">
      <c r="A838" s="105" t="s">
        <v>1358</v>
      </c>
      <c r="B838" s="106">
        <v>404</v>
      </c>
      <c r="C838" s="87">
        <f t="shared" si="26"/>
        <v>3.2707317975784633E-2</v>
      </c>
      <c r="D838" s="106">
        <v>71522.509999999995</v>
      </c>
      <c r="E838" s="87">
        <f t="shared" si="27"/>
        <v>1.9440996773150587E-2</v>
      </c>
    </row>
    <row r="839" spans="1:5" x14ac:dyDescent="0.2">
      <c r="A839" s="105" t="s">
        <v>1359</v>
      </c>
      <c r="B839" s="106">
        <v>400</v>
      </c>
      <c r="C839" s="87">
        <f t="shared" si="26"/>
        <v>-9.9503308531687651E-3</v>
      </c>
      <c r="D839" s="106">
        <v>72119.39</v>
      </c>
      <c r="E839" s="87">
        <f t="shared" si="27"/>
        <v>8.3107148462602254E-3</v>
      </c>
    </row>
    <row r="840" spans="1:5" x14ac:dyDescent="0.2">
      <c r="A840" s="105" t="s">
        <v>1360</v>
      </c>
      <c r="B840" s="106">
        <v>395</v>
      </c>
      <c r="C840" s="87">
        <f t="shared" si="26"/>
        <v>-1.2578782206859707E-2</v>
      </c>
      <c r="D840" s="106">
        <v>72086.259999999995</v>
      </c>
      <c r="E840" s="87">
        <f t="shared" si="27"/>
        <v>-4.5948269825579757E-4</v>
      </c>
    </row>
    <row r="841" spans="1:5" x14ac:dyDescent="0.2">
      <c r="A841" s="105" t="s">
        <v>1361</v>
      </c>
      <c r="B841" s="106">
        <v>383</v>
      </c>
      <c r="C841" s="87">
        <f t="shared" si="26"/>
        <v>-3.0850775720476342E-2</v>
      </c>
      <c r="D841" s="106">
        <v>72574.53</v>
      </c>
      <c r="E841" s="87">
        <f t="shared" si="27"/>
        <v>6.750576354731308E-3</v>
      </c>
    </row>
    <row r="842" spans="1:5" x14ac:dyDescent="0.2">
      <c r="A842" s="105" t="s">
        <v>1362</v>
      </c>
      <c r="B842" s="106">
        <v>367</v>
      </c>
      <c r="C842" s="87">
        <f t="shared" si="26"/>
        <v>-4.2673141126075009E-2</v>
      </c>
      <c r="D842" s="106">
        <v>72794.960000000006</v>
      </c>
      <c r="E842" s="87">
        <f t="shared" si="27"/>
        <v>3.0326882063747007E-3</v>
      </c>
    </row>
    <row r="843" spans="1:5" x14ac:dyDescent="0.2">
      <c r="A843" s="105" t="s">
        <v>1363</v>
      </c>
      <c r="B843" s="106">
        <v>365</v>
      </c>
      <c r="C843" s="87">
        <f t="shared" si="26"/>
        <v>-5.4644944720791955E-3</v>
      </c>
      <c r="D843" s="106">
        <v>73574.179999999993</v>
      </c>
      <c r="E843" s="87">
        <f t="shared" si="27"/>
        <v>1.0647426930535886E-2</v>
      </c>
    </row>
    <row r="844" spans="1:5" x14ac:dyDescent="0.2">
      <c r="A844" s="105" t="s">
        <v>1364</v>
      </c>
      <c r="B844" s="106">
        <v>366</v>
      </c>
      <c r="C844" s="87">
        <f t="shared" si="26"/>
        <v>2.7359798188744122E-3</v>
      </c>
      <c r="D844" s="106">
        <v>74431.48</v>
      </c>
      <c r="E844" s="87">
        <f t="shared" si="27"/>
        <v>1.158482166193231E-2</v>
      </c>
    </row>
    <row r="845" spans="1:5" x14ac:dyDescent="0.2">
      <c r="A845" s="105" t="s">
        <v>1365</v>
      </c>
      <c r="B845" s="106">
        <v>366</v>
      </c>
      <c r="C845" s="87">
        <f t="shared" si="26"/>
        <v>0</v>
      </c>
      <c r="D845" s="106">
        <v>74813.240000000005</v>
      </c>
      <c r="E845" s="87">
        <f t="shared" si="27"/>
        <v>5.1159040351080876E-3</v>
      </c>
    </row>
    <row r="846" spans="1:5" x14ac:dyDescent="0.2">
      <c r="A846" s="105" t="s">
        <v>1366</v>
      </c>
      <c r="B846" s="106">
        <v>368</v>
      </c>
      <c r="C846" s="87">
        <f t="shared" si="26"/>
        <v>5.4496047675653969E-3</v>
      </c>
      <c r="D846" s="106">
        <v>74659.509999999995</v>
      </c>
      <c r="E846" s="87">
        <f t="shared" si="27"/>
        <v>-2.0569642855150505E-3</v>
      </c>
    </row>
    <row r="847" spans="1:5" x14ac:dyDescent="0.2">
      <c r="A847" s="105" t="s">
        <v>1367</v>
      </c>
      <c r="B847" s="106">
        <v>367</v>
      </c>
      <c r="C847" s="87">
        <f t="shared" si="26"/>
        <v>-2.7210901143606137E-3</v>
      </c>
      <c r="D847" s="106">
        <v>72975.13</v>
      </c>
      <c r="E847" s="87">
        <f t="shared" si="27"/>
        <v>-2.281921220832217E-2</v>
      </c>
    </row>
    <row r="848" spans="1:5" x14ac:dyDescent="0.2">
      <c r="A848" s="105" t="s">
        <v>1368</v>
      </c>
      <c r="B848" s="106">
        <v>367</v>
      </c>
      <c r="C848" s="87">
        <f t="shared" si="26"/>
        <v>0</v>
      </c>
      <c r="D848" s="106">
        <v>73770.02</v>
      </c>
      <c r="E848" s="87">
        <f t="shared" si="27"/>
        <v>1.0833717838503176E-2</v>
      </c>
    </row>
    <row r="849" spans="1:5" x14ac:dyDescent="0.2">
      <c r="A849" s="105" t="s">
        <v>1369</v>
      </c>
      <c r="B849" s="106">
        <v>360</v>
      </c>
      <c r="C849" s="87">
        <f t="shared" si="26"/>
        <v>-1.9257816604414835E-2</v>
      </c>
      <c r="D849" s="106">
        <v>73586.320000000007</v>
      </c>
      <c r="E849" s="87">
        <f t="shared" si="27"/>
        <v>-2.4932771153682864E-3</v>
      </c>
    </row>
    <row r="850" spans="1:5" x14ac:dyDescent="0.2">
      <c r="A850" s="105" t="s">
        <v>1370</v>
      </c>
      <c r="B850" s="106">
        <v>361</v>
      </c>
      <c r="C850" s="87">
        <f t="shared" si="26"/>
        <v>2.7739268827247088E-3</v>
      </c>
      <c r="D850" s="106">
        <v>73217.440000000002</v>
      </c>
      <c r="E850" s="87">
        <f t="shared" si="27"/>
        <v>-5.0254949376871139E-3</v>
      </c>
    </row>
    <row r="851" spans="1:5" x14ac:dyDescent="0.2">
      <c r="A851" s="105" t="s">
        <v>1371</v>
      </c>
      <c r="B851" s="106">
        <v>363</v>
      </c>
      <c r="C851" s="87">
        <f t="shared" si="26"/>
        <v>5.5248759319699303E-3</v>
      </c>
      <c r="D851" s="106">
        <v>73377.899999999994</v>
      </c>
      <c r="E851" s="87">
        <f t="shared" si="27"/>
        <v>2.1891564095071203E-3</v>
      </c>
    </row>
    <row r="852" spans="1:5" x14ac:dyDescent="0.2">
      <c r="A852" s="105" t="s">
        <v>1372</v>
      </c>
      <c r="B852" s="106">
        <v>359</v>
      </c>
      <c r="C852" s="87">
        <f t="shared" si="26"/>
        <v>-1.1080445776571857E-2</v>
      </c>
      <c r="D852" s="106">
        <v>73909.36</v>
      </c>
      <c r="E852" s="87">
        <f t="shared" si="27"/>
        <v>7.2166772136768031E-3</v>
      </c>
    </row>
    <row r="853" spans="1:5" x14ac:dyDescent="0.2">
      <c r="A853" s="105" t="s">
        <v>1373</v>
      </c>
      <c r="B853" s="106">
        <v>365</v>
      </c>
      <c r="C853" s="87">
        <f t="shared" si="26"/>
        <v>1.6574965094212857E-2</v>
      </c>
      <c r="D853" s="106">
        <v>73876.44</v>
      </c>
      <c r="E853" s="87">
        <f t="shared" si="27"/>
        <v>-4.4550965714584834E-4</v>
      </c>
    </row>
    <row r="854" spans="1:5" x14ac:dyDescent="0.2">
      <c r="A854" s="105" t="s">
        <v>1374</v>
      </c>
      <c r="B854" s="106">
        <v>364</v>
      </c>
      <c r="C854" s="87">
        <f t="shared" si="26"/>
        <v>-2.743485945750912E-3</v>
      </c>
      <c r="D854" s="106">
        <v>73602.06</v>
      </c>
      <c r="E854" s="87">
        <f t="shared" si="27"/>
        <v>-3.7209534484983209E-3</v>
      </c>
    </row>
    <row r="855" spans="1:5" x14ac:dyDescent="0.2">
      <c r="A855" s="105" t="s">
        <v>1375</v>
      </c>
      <c r="B855" s="106">
        <v>362</v>
      </c>
      <c r="C855" s="87">
        <f t="shared" si="26"/>
        <v>-5.5096558109690719E-3</v>
      </c>
      <c r="D855" s="106">
        <v>73818.53</v>
      </c>
      <c r="E855" s="87">
        <f t="shared" si="27"/>
        <v>2.9367696273752131E-3</v>
      </c>
    </row>
    <row r="856" spans="1:5" x14ac:dyDescent="0.2">
      <c r="A856" s="105" t="s">
        <v>1376</v>
      </c>
      <c r="B856" s="106">
        <v>366</v>
      </c>
      <c r="C856" s="87">
        <f t="shared" si="26"/>
        <v>1.0989121575594396E-2</v>
      </c>
      <c r="D856" s="106">
        <v>74222.39</v>
      </c>
      <c r="E856" s="87">
        <f t="shared" si="27"/>
        <v>5.4560725759618123E-3</v>
      </c>
    </row>
    <row r="857" spans="1:5" x14ac:dyDescent="0.2">
      <c r="A857" s="105" t="s">
        <v>1377</v>
      </c>
      <c r="B857" s="106">
        <v>363</v>
      </c>
      <c r="C857" s="87">
        <f t="shared" si="26"/>
        <v>-8.2304991365154123E-3</v>
      </c>
      <c r="D857" s="106">
        <v>74298.789999999994</v>
      </c>
      <c r="E857" s="87">
        <f t="shared" si="27"/>
        <v>1.0288095844472878E-3</v>
      </c>
    </row>
    <row r="858" spans="1:5" x14ac:dyDescent="0.2">
      <c r="A858" s="105" t="s">
        <v>1378</v>
      </c>
      <c r="B858" s="106">
        <v>369</v>
      </c>
      <c r="C858" s="87">
        <f t="shared" si="26"/>
        <v>1.6393809775676615E-2</v>
      </c>
      <c r="D858" s="106">
        <v>74651.77</v>
      </c>
      <c r="E858" s="87">
        <f t="shared" si="27"/>
        <v>4.739568092443136E-3</v>
      </c>
    </row>
    <row r="859" spans="1:5" x14ac:dyDescent="0.2">
      <c r="A859" s="105" t="s">
        <v>1379</v>
      </c>
      <c r="B859" s="106">
        <v>369</v>
      </c>
      <c r="C859" s="87">
        <f t="shared" si="26"/>
        <v>0</v>
      </c>
      <c r="D859" s="106">
        <v>74444.83</v>
      </c>
      <c r="E859" s="87">
        <f t="shared" si="27"/>
        <v>-2.7759202139456818E-3</v>
      </c>
    </row>
    <row r="860" spans="1:5" x14ac:dyDescent="0.2">
      <c r="A860" s="105" t="s">
        <v>1380</v>
      </c>
      <c r="B860" s="106">
        <v>368</v>
      </c>
      <c r="C860" s="87">
        <f t="shared" si="26"/>
        <v>-2.7137058715958062E-3</v>
      </c>
      <c r="D860" s="106">
        <v>74524.78</v>
      </c>
      <c r="E860" s="87">
        <f t="shared" si="27"/>
        <v>1.0733733903993681E-3</v>
      </c>
    </row>
    <row r="861" spans="1:5" x14ac:dyDescent="0.2">
      <c r="A861" s="105" t="s">
        <v>1381</v>
      </c>
      <c r="B861" s="106">
        <v>365</v>
      </c>
      <c r="C861" s="87">
        <f t="shared" si="26"/>
        <v>-8.1855845864398091E-3</v>
      </c>
      <c r="D861" s="106">
        <v>74282.98</v>
      </c>
      <c r="E861" s="87">
        <f t="shared" si="27"/>
        <v>-3.2498333798258727E-3</v>
      </c>
    </row>
    <row r="862" spans="1:5" x14ac:dyDescent="0.2">
      <c r="A862" s="105" t="s">
        <v>1382</v>
      </c>
      <c r="B862" s="106">
        <v>361</v>
      </c>
      <c r="C862" s="87">
        <f t="shared" si="26"/>
        <v>-1.101939524961093E-2</v>
      </c>
      <c r="D862" s="106">
        <v>74736.92</v>
      </c>
      <c r="E862" s="87">
        <f t="shared" si="27"/>
        <v>6.0923595314115175E-3</v>
      </c>
    </row>
    <row r="863" spans="1:5" x14ac:dyDescent="0.2">
      <c r="A863" s="105" t="s">
        <v>1383</v>
      </c>
      <c r="B863" s="106">
        <v>360</v>
      </c>
      <c r="C863" s="87">
        <f t="shared" si="26"/>
        <v>-2.7739268827247088E-3</v>
      </c>
      <c r="D863" s="106">
        <v>74459.899999999994</v>
      </c>
      <c r="E863" s="87">
        <f t="shared" si="27"/>
        <v>-3.7134882411287151E-3</v>
      </c>
    </row>
    <row r="864" spans="1:5" x14ac:dyDescent="0.2">
      <c r="A864" s="105" t="s">
        <v>1384</v>
      </c>
      <c r="B864" s="106">
        <v>367</v>
      </c>
      <c r="C864" s="87">
        <f t="shared" si="26"/>
        <v>1.9257816604414835E-2</v>
      </c>
      <c r="D864" s="106">
        <v>73327.72</v>
      </c>
      <c r="E864" s="87">
        <f t="shared" si="27"/>
        <v>-1.5322016140761008E-2</v>
      </c>
    </row>
    <row r="865" spans="1:5" x14ac:dyDescent="0.2">
      <c r="A865" s="105" t="s">
        <v>1385</v>
      </c>
      <c r="B865" s="106">
        <v>375</v>
      </c>
      <c r="C865" s="87">
        <f t="shared" si="26"/>
        <v>2.1564177915839977E-2</v>
      </c>
      <c r="D865" s="106">
        <v>72124.89</v>
      </c>
      <c r="E865" s="87">
        <f t="shared" si="27"/>
        <v>-1.6539509602836233E-2</v>
      </c>
    </row>
    <row r="866" spans="1:5" x14ac:dyDescent="0.2">
      <c r="A866" s="105" t="s">
        <v>1386</v>
      </c>
      <c r="B866" s="106">
        <v>353</v>
      </c>
      <c r="C866" s="87">
        <f t="shared" si="26"/>
        <v>-6.045796903711409E-2</v>
      </c>
      <c r="D866" s="106">
        <v>71789.34</v>
      </c>
      <c r="E866" s="87">
        <f t="shared" si="27"/>
        <v>-4.6632026319723963E-3</v>
      </c>
    </row>
    <row r="867" spans="1:5" x14ac:dyDescent="0.2">
      <c r="A867" s="105" t="s">
        <v>1387</v>
      </c>
      <c r="B867" s="106">
        <v>375</v>
      </c>
      <c r="C867" s="87">
        <f t="shared" si="26"/>
        <v>6.045796903711409E-2</v>
      </c>
      <c r="D867" s="106">
        <v>71940.47</v>
      </c>
      <c r="E867" s="87">
        <f t="shared" si="27"/>
        <v>2.1029744031206832E-3</v>
      </c>
    </row>
    <row r="868" spans="1:5" x14ac:dyDescent="0.2">
      <c r="A868" s="105" t="s">
        <v>1388</v>
      </c>
      <c r="B868" s="106">
        <v>369</v>
      </c>
      <c r="C868" s="87">
        <f t="shared" si="26"/>
        <v>-1.6129381929883557E-2</v>
      </c>
      <c r="D868" s="106">
        <v>71265.39</v>
      </c>
      <c r="E868" s="87">
        <f t="shared" si="27"/>
        <v>-9.4281756441478848E-3</v>
      </c>
    </row>
    <row r="869" spans="1:5" x14ac:dyDescent="0.2">
      <c r="A869" s="105" t="s">
        <v>421</v>
      </c>
      <c r="B869" s="106">
        <v>361</v>
      </c>
      <c r="C869" s="87">
        <f t="shared" si="26"/>
        <v>-2.1918685707646546E-2</v>
      </c>
      <c r="D869" s="106">
        <v>70811.97</v>
      </c>
      <c r="E869" s="87">
        <f t="shared" si="27"/>
        <v>-6.3827416181823082E-3</v>
      </c>
    </row>
    <row r="870" spans="1:5" x14ac:dyDescent="0.2">
      <c r="A870" s="105" t="s">
        <v>1389</v>
      </c>
      <c r="B870" s="106">
        <v>362</v>
      </c>
      <c r="C870" s="87">
        <f t="shared" si="26"/>
        <v>2.7662534928909466E-3</v>
      </c>
      <c r="D870" s="106">
        <v>70340.86</v>
      </c>
      <c r="E870" s="87">
        <f t="shared" si="27"/>
        <v>-6.6752009055814909E-3</v>
      </c>
    </row>
    <row r="871" spans="1:5" x14ac:dyDescent="0.2">
      <c r="A871" s="105" t="s">
        <v>1390</v>
      </c>
      <c r="B871" s="106">
        <v>360</v>
      </c>
      <c r="C871" s="87">
        <f t="shared" si="26"/>
        <v>-5.5401803756156554E-3</v>
      </c>
      <c r="D871" s="106">
        <v>69871.41</v>
      </c>
      <c r="E871" s="87">
        <f t="shared" si="27"/>
        <v>-6.6963006047071616E-3</v>
      </c>
    </row>
    <row r="872" spans="1:5" x14ac:dyDescent="0.2">
      <c r="A872" s="105" t="s">
        <v>1391</v>
      </c>
      <c r="B872" s="106">
        <v>363</v>
      </c>
      <c r="C872" s="87">
        <f t="shared" si="26"/>
        <v>8.2988028146946391E-3</v>
      </c>
      <c r="D872" s="106">
        <v>69440.479999999996</v>
      </c>
      <c r="E872" s="87">
        <f t="shared" si="27"/>
        <v>-6.1865699250471806E-3</v>
      </c>
    </row>
    <row r="873" spans="1:5" x14ac:dyDescent="0.2">
      <c r="A873" s="105" t="s">
        <v>1392</v>
      </c>
      <c r="B873" s="106">
        <v>356</v>
      </c>
      <c r="C873" s="87">
        <f t="shared" si="26"/>
        <v>-1.9472103412820019E-2</v>
      </c>
      <c r="D873" s="106">
        <v>70027.100000000006</v>
      </c>
      <c r="E873" s="87">
        <f t="shared" si="27"/>
        <v>8.4123272154421613E-3</v>
      </c>
    </row>
    <row r="874" spans="1:5" x14ac:dyDescent="0.2">
      <c r="A874" s="105" t="s">
        <v>1393</v>
      </c>
      <c r="B874" s="106">
        <v>349</v>
      </c>
      <c r="C874" s="87">
        <f t="shared" si="26"/>
        <v>-1.9858808649603432E-2</v>
      </c>
      <c r="D874" s="106">
        <v>70162.59</v>
      </c>
      <c r="E874" s="87">
        <f t="shared" si="27"/>
        <v>1.932953017957928E-3</v>
      </c>
    </row>
    <row r="875" spans="1:5" x14ac:dyDescent="0.2">
      <c r="A875" s="105" t="s">
        <v>1394</v>
      </c>
      <c r="B875" s="106">
        <v>346</v>
      </c>
      <c r="C875" s="87">
        <f t="shared" si="26"/>
        <v>-8.6331471447023134E-3</v>
      </c>
      <c r="D875" s="106">
        <v>70725.53</v>
      </c>
      <c r="E875" s="87">
        <f t="shared" si="27"/>
        <v>7.9913479696216427E-3</v>
      </c>
    </row>
    <row r="876" spans="1:5" x14ac:dyDescent="0.2">
      <c r="A876" s="105" t="s">
        <v>1395</v>
      </c>
      <c r="B876" s="106">
        <v>342</v>
      </c>
      <c r="C876" s="87">
        <f t="shared" si="26"/>
        <v>-1.1628037995119911E-2</v>
      </c>
      <c r="D876" s="106">
        <v>70950.820000000007</v>
      </c>
      <c r="E876" s="87">
        <f t="shared" si="27"/>
        <v>3.1803500004574659E-3</v>
      </c>
    </row>
    <row r="877" spans="1:5" x14ac:dyDescent="0.2">
      <c r="A877" s="105" t="s">
        <v>1396</v>
      </c>
      <c r="B877" s="106">
        <v>340</v>
      </c>
      <c r="C877" s="87">
        <f t="shared" si="26"/>
        <v>-5.865119452397316E-3</v>
      </c>
      <c r="D877" s="106">
        <v>69420.009999999995</v>
      </c>
      <c r="E877" s="87">
        <f t="shared" si="27"/>
        <v>-2.1811806489743901E-2</v>
      </c>
    </row>
    <row r="878" spans="1:5" x14ac:dyDescent="0.2">
      <c r="A878" s="105" t="s">
        <v>1397</v>
      </c>
      <c r="B878" s="106">
        <v>333</v>
      </c>
      <c r="C878" s="87">
        <f t="shared" si="26"/>
        <v>-2.0803127629763551E-2</v>
      </c>
      <c r="D878" s="106">
        <v>69144.42</v>
      </c>
      <c r="E878" s="87">
        <f t="shared" si="27"/>
        <v>-3.9777937726821477E-3</v>
      </c>
    </row>
    <row r="879" spans="1:5" x14ac:dyDescent="0.2">
      <c r="A879" s="105" t="s">
        <v>1398</v>
      </c>
      <c r="B879" s="106">
        <v>346</v>
      </c>
      <c r="C879" s="87">
        <f t="shared" si="26"/>
        <v>3.8296285077280778E-2</v>
      </c>
      <c r="D879" s="106">
        <v>71107.64</v>
      </c>
      <c r="E879" s="87">
        <f t="shared" si="27"/>
        <v>2.7997424614476074E-2</v>
      </c>
    </row>
    <row r="880" spans="1:5" x14ac:dyDescent="0.2">
      <c r="A880" s="105" t="s">
        <v>1399</v>
      </c>
      <c r="B880" s="106">
        <v>350</v>
      </c>
      <c r="C880" s="87">
        <f t="shared" si="26"/>
        <v>1.149437942573428E-2</v>
      </c>
      <c r="D880" s="106">
        <v>71674.66</v>
      </c>
      <c r="E880" s="87">
        <f t="shared" si="27"/>
        <v>7.9424827975920209E-3</v>
      </c>
    </row>
    <row r="881" spans="1:5" x14ac:dyDescent="0.2">
      <c r="A881" s="105" t="s">
        <v>1400</v>
      </c>
      <c r="B881" s="106">
        <v>356</v>
      </c>
      <c r="C881" s="87">
        <f t="shared" si="26"/>
        <v>1.6997576368571465E-2</v>
      </c>
      <c r="D881" s="106">
        <v>71711.5</v>
      </c>
      <c r="E881" s="87">
        <f t="shared" si="27"/>
        <v>5.1385713670981659E-4</v>
      </c>
    </row>
    <row r="882" spans="1:5" x14ac:dyDescent="0.2">
      <c r="A882" s="105" t="s">
        <v>1401</v>
      </c>
      <c r="B882" s="106">
        <v>359</v>
      </c>
      <c r="C882" s="87">
        <f t="shared" si="26"/>
        <v>8.3916576362481621E-3</v>
      </c>
      <c r="D882" s="106">
        <v>72040.73</v>
      </c>
      <c r="E882" s="87">
        <f t="shared" si="27"/>
        <v>4.5805282552837667E-3</v>
      </c>
    </row>
    <row r="883" spans="1:5" x14ac:dyDescent="0.2">
      <c r="A883" s="105" t="s">
        <v>1402</v>
      </c>
      <c r="B883" s="106">
        <v>364</v>
      </c>
      <c r="C883" s="87">
        <f t="shared" si="26"/>
        <v>1.3831479148461945E-2</v>
      </c>
      <c r="D883" s="106">
        <v>71804</v>
      </c>
      <c r="E883" s="87">
        <f t="shared" si="27"/>
        <v>-3.2914687068910098E-3</v>
      </c>
    </row>
    <row r="884" spans="1:5" x14ac:dyDescent="0.2">
      <c r="A884" s="105" t="s">
        <v>1403</v>
      </c>
      <c r="B884" s="106">
        <v>362</v>
      </c>
      <c r="C884" s="87">
        <f t="shared" si="26"/>
        <v>-5.5096558109690719E-3</v>
      </c>
      <c r="D884" s="106">
        <v>71091.23</v>
      </c>
      <c r="E884" s="87">
        <f t="shared" si="27"/>
        <v>-9.9762030055750017E-3</v>
      </c>
    </row>
    <row r="885" spans="1:5" x14ac:dyDescent="0.2">
      <c r="A885" s="105" t="s">
        <v>1404</v>
      </c>
      <c r="B885" s="106">
        <v>364</v>
      </c>
      <c r="C885" s="87">
        <f t="shared" si="26"/>
        <v>5.5096558109690719E-3</v>
      </c>
      <c r="D885" s="106">
        <v>70980.210000000006</v>
      </c>
      <c r="E885" s="87">
        <f t="shared" si="27"/>
        <v>-1.5628760093928662E-3</v>
      </c>
    </row>
    <row r="886" spans="1:5" x14ac:dyDescent="0.2">
      <c r="A886" s="105" t="s">
        <v>1405</v>
      </c>
      <c r="B886" s="106">
        <v>366</v>
      </c>
      <c r="C886" s="87">
        <f t="shared" si="26"/>
        <v>5.4794657646253242E-3</v>
      </c>
      <c r="D886" s="106">
        <v>70970.399999999994</v>
      </c>
      <c r="E886" s="87">
        <f t="shared" si="27"/>
        <v>-1.3821708854422354E-4</v>
      </c>
    </row>
    <row r="887" spans="1:5" x14ac:dyDescent="0.2">
      <c r="A887" s="105" t="s">
        <v>1406</v>
      </c>
      <c r="B887" s="106">
        <v>351</v>
      </c>
      <c r="C887" s="87">
        <f t="shared" si="26"/>
        <v>-4.1847109935500448E-2</v>
      </c>
      <c r="D887" s="106">
        <v>71798.97</v>
      </c>
      <c r="E887" s="87">
        <f t="shared" si="27"/>
        <v>1.1607241842071403E-2</v>
      </c>
    </row>
    <row r="888" spans="1:5" x14ac:dyDescent="0.2">
      <c r="A888" s="105" t="s">
        <v>1407</v>
      </c>
      <c r="B888" s="106">
        <v>355</v>
      </c>
      <c r="C888" s="87">
        <f t="shared" si="26"/>
        <v>1.1331566009550542E-2</v>
      </c>
      <c r="D888" s="106">
        <v>72170.41</v>
      </c>
      <c r="E888" s="87">
        <f t="shared" si="27"/>
        <v>5.1599975515603802E-3</v>
      </c>
    </row>
    <row r="889" spans="1:5" x14ac:dyDescent="0.2">
      <c r="A889" s="105" t="s">
        <v>1408</v>
      </c>
      <c r="B889" s="106">
        <v>366</v>
      </c>
      <c r="C889" s="87">
        <f t="shared" si="26"/>
        <v>3.0515543925949906E-2</v>
      </c>
      <c r="D889" s="106">
        <v>71177.34</v>
      </c>
      <c r="E889" s="87">
        <f t="shared" si="27"/>
        <v>-1.3855618762940836E-2</v>
      </c>
    </row>
    <row r="890" spans="1:5" x14ac:dyDescent="0.2">
      <c r="A890" s="105" t="s">
        <v>1409</v>
      </c>
      <c r="B890" s="106">
        <v>371</v>
      </c>
      <c r="C890" s="87">
        <f t="shared" si="26"/>
        <v>1.3568729206069108E-2</v>
      </c>
      <c r="D890" s="106">
        <v>71431.16</v>
      </c>
      <c r="E890" s="87">
        <f t="shared" si="27"/>
        <v>3.5596793742236343E-3</v>
      </c>
    </row>
    <row r="891" spans="1:5" x14ac:dyDescent="0.2">
      <c r="A891" s="105" t="s">
        <v>422</v>
      </c>
      <c r="B891" s="106">
        <v>376</v>
      </c>
      <c r="C891" s="87">
        <f t="shared" si="26"/>
        <v>1.3387080782459648E-2</v>
      </c>
      <c r="D891" s="106">
        <v>70995.66</v>
      </c>
      <c r="E891" s="87">
        <f t="shared" si="27"/>
        <v>-6.115440297790542E-3</v>
      </c>
    </row>
    <row r="892" spans="1:5" x14ac:dyDescent="0.2">
      <c r="A892" s="105" t="s">
        <v>1410</v>
      </c>
      <c r="B892" s="106">
        <v>364</v>
      </c>
      <c r="C892" s="87">
        <f t="shared" si="26"/>
        <v>-3.243527575315408E-2</v>
      </c>
      <c r="D892" s="106">
        <v>70930.149999999994</v>
      </c>
      <c r="E892" s="87">
        <f t="shared" si="27"/>
        <v>-9.2315843964385635E-4</v>
      </c>
    </row>
    <row r="893" spans="1:5" x14ac:dyDescent="0.2">
      <c r="A893" s="105" t="s">
        <v>1411</v>
      </c>
      <c r="B893" s="106">
        <v>366</v>
      </c>
      <c r="C893" s="87">
        <f t="shared" si="26"/>
        <v>5.4794657646253242E-3</v>
      </c>
      <c r="D893" s="106">
        <v>70526.66</v>
      </c>
      <c r="E893" s="87">
        <f t="shared" si="27"/>
        <v>-5.7047956091693663E-3</v>
      </c>
    </row>
    <row r="894" spans="1:5" x14ac:dyDescent="0.2">
      <c r="A894" s="105" t="s">
        <v>1412</v>
      </c>
      <c r="B894" s="106">
        <v>366</v>
      </c>
      <c r="C894" s="87">
        <f t="shared" si="26"/>
        <v>0</v>
      </c>
      <c r="D894" s="106">
        <v>69774.86</v>
      </c>
      <c r="E894" s="87">
        <f t="shared" si="27"/>
        <v>-1.0717021392551374E-2</v>
      </c>
    </row>
    <row r="895" spans="1:5" x14ac:dyDescent="0.2">
      <c r="A895" s="105" t="s">
        <v>1413</v>
      </c>
      <c r="B895" s="106">
        <v>369</v>
      </c>
      <c r="C895" s="87">
        <f t="shared" si="26"/>
        <v>8.1633106391612031E-3</v>
      </c>
      <c r="D895" s="106">
        <v>69454.990000000005</v>
      </c>
      <c r="E895" s="87">
        <f t="shared" si="27"/>
        <v>-4.5948560998443355E-3</v>
      </c>
    </row>
    <row r="896" spans="1:5" x14ac:dyDescent="0.2">
      <c r="A896" s="105" t="s">
        <v>1414</v>
      </c>
      <c r="B896" s="106">
        <v>378</v>
      </c>
      <c r="C896" s="87">
        <f t="shared" si="26"/>
        <v>2.4097551579060905E-2</v>
      </c>
      <c r="D896" s="106">
        <v>69728.77</v>
      </c>
      <c r="E896" s="87">
        <f t="shared" si="27"/>
        <v>3.934084739601218E-3</v>
      </c>
    </row>
    <row r="897" spans="1:5" x14ac:dyDescent="0.2">
      <c r="A897" s="105" t="s">
        <v>1415</v>
      </c>
      <c r="B897" s="106">
        <v>378</v>
      </c>
      <c r="C897" s="87">
        <f t="shared" si="26"/>
        <v>0</v>
      </c>
      <c r="D897" s="106">
        <v>69093.64</v>
      </c>
      <c r="E897" s="87">
        <f t="shared" si="27"/>
        <v>-9.1503155941765613E-3</v>
      </c>
    </row>
    <row r="898" spans="1:5" x14ac:dyDescent="0.2">
      <c r="A898" s="105" t="s">
        <v>1416</v>
      </c>
      <c r="B898" s="106">
        <v>377</v>
      </c>
      <c r="C898" s="87">
        <f t="shared" si="26"/>
        <v>-2.6490081715770941E-3</v>
      </c>
      <c r="D898" s="106">
        <v>68763</v>
      </c>
      <c r="E898" s="87">
        <f t="shared" si="27"/>
        <v>-4.7968764363126581E-3</v>
      </c>
    </row>
    <row r="899" spans="1:5" x14ac:dyDescent="0.2">
      <c r="A899" s="105" t="s">
        <v>1417</v>
      </c>
      <c r="B899" s="106">
        <v>373</v>
      </c>
      <c r="C899" s="87">
        <f t="shared" si="26"/>
        <v>-1.0666767804194954E-2</v>
      </c>
      <c r="D899" s="106">
        <v>67966.14</v>
      </c>
      <c r="E899" s="87">
        <f t="shared" si="27"/>
        <v>-1.165616959458049E-2</v>
      </c>
    </row>
    <row r="900" spans="1:5" x14ac:dyDescent="0.2">
      <c r="A900" s="105" t="s">
        <v>1418</v>
      </c>
      <c r="B900" s="106">
        <v>371</v>
      </c>
      <c r="C900" s="87">
        <f t="shared" si="26"/>
        <v>-5.3763570363809521E-3</v>
      </c>
      <c r="D900" s="106">
        <v>68035.61</v>
      </c>
      <c r="E900" s="87">
        <f t="shared" si="27"/>
        <v>1.0216045902655679E-3</v>
      </c>
    </row>
    <row r="901" spans="1:5" x14ac:dyDescent="0.2">
      <c r="A901" s="105" t="s">
        <v>1419</v>
      </c>
      <c r="B901" s="106">
        <v>370</v>
      </c>
      <c r="C901" s="87">
        <f t="shared" ref="C901:C964" si="28">LN(B901)-LN(B900)</f>
        <v>-2.69905696916517E-3</v>
      </c>
      <c r="D901" s="106">
        <v>68796.17</v>
      </c>
      <c r="E901" s="87">
        <f t="shared" ref="E901:E964" si="29">LN(D901)-LN(D900)</f>
        <v>1.1116830209068951E-2</v>
      </c>
    </row>
    <row r="902" spans="1:5" x14ac:dyDescent="0.2">
      <c r="A902" s="105" t="s">
        <v>1420</v>
      </c>
      <c r="B902" s="106">
        <v>376</v>
      </c>
      <c r="C902" s="87">
        <f t="shared" si="28"/>
        <v>1.6086137751624818E-2</v>
      </c>
      <c r="D902" s="106">
        <v>69160.02</v>
      </c>
      <c r="E902" s="87">
        <f t="shared" si="29"/>
        <v>5.2748752144555766E-3</v>
      </c>
    </row>
    <row r="903" spans="1:5" x14ac:dyDescent="0.2">
      <c r="A903" s="105" t="s">
        <v>1421</v>
      </c>
      <c r="B903" s="106">
        <v>369</v>
      </c>
      <c r="C903" s="87">
        <f t="shared" si="28"/>
        <v>-1.8792499349367553E-2</v>
      </c>
      <c r="D903" s="106">
        <v>68811.77</v>
      </c>
      <c r="E903" s="87">
        <f t="shared" si="29"/>
        <v>-5.048144110613606E-3</v>
      </c>
    </row>
    <row r="904" spans="1:5" x14ac:dyDescent="0.2">
      <c r="A904" s="105" t="s">
        <v>1422</v>
      </c>
      <c r="B904" s="106">
        <v>369</v>
      </c>
      <c r="C904" s="87">
        <f t="shared" si="28"/>
        <v>0</v>
      </c>
      <c r="D904" s="106">
        <v>69254.399999999994</v>
      </c>
      <c r="E904" s="87">
        <f t="shared" si="29"/>
        <v>6.4118750662025548E-3</v>
      </c>
    </row>
    <row r="905" spans="1:5" x14ac:dyDescent="0.2">
      <c r="A905" s="105" t="s">
        <v>1423</v>
      </c>
      <c r="B905" s="106">
        <v>360</v>
      </c>
      <c r="C905" s="87">
        <f t="shared" si="28"/>
        <v>-2.4692612590371255E-2</v>
      </c>
      <c r="D905" s="106">
        <v>69076.800000000003</v>
      </c>
      <c r="E905" s="87">
        <f t="shared" si="29"/>
        <v>-2.5677518532560839E-3</v>
      </c>
    </row>
    <row r="906" spans="1:5" x14ac:dyDescent="0.2">
      <c r="A906" s="105" t="s">
        <v>1424</v>
      </c>
      <c r="B906" s="106">
        <v>355</v>
      </c>
      <c r="C906" s="87">
        <f t="shared" si="28"/>
        <v>-1.3986241974739855E-2</v>
      </c>
      <c r="D906" s="106">
        <v>68813.649999999994</v>
      </c>
      <c r="E906" s="87">
        <f t="shared" si="29"/>
        <v>-3.8168026787008813E-3</v>
      </c>
    </row>
    <row r="907" spans="1:5" x14ac:dyDescent="0.2">
      <c r="A907" s="105" t="s">
        <v>1425</v>
      </c>
      <c r="B907" s="106">
        <v>352</v>
      </c>
      <c r="C907" s="87">
        <f t="shared" si="28"/>
        <v>-8.4866138773191935E-3</v>
      </c>
      <c r="D907" s="106">
        <v>68635.19</v>
      </c>
      <c r="E907" s="87">
        <f t="shared" si="29"/>
        <v>-2.5967494564689275E-3</v>
      </c>
    </row>
    <row r="908" spans="1:5" x14ac:dyDescent="0.2">
      <c r="A908" s="105" t="s">
        <v>1426</v>
      </c>
      <c r="B908" s="106">
        <v>343</v>
      </c>
      <c r="C908" s="87">
        <f t="shared" si="28"/>
        <v>-2.5900728432157294E-2</v>
      </c>
      <c r="D908" s="106">
        <v>68487.649999999994</v>
      </c>
      <c r="E908" s="87">
        <f t="shared" si="29"/>
        <v>-2.1519399238858483E-3</v>
      </c>
    </row>
    <row r="909" spans="1:5" x14ac:dyDescent="0.2">
      <c r="A909" s="105" t="s">
        <v>1427</v>
      </c>
      <c r="B909" s="106">
        <v>340</v>
      </c>
      <c r="C909" s="87">
        <f t="shared" si="28"/>
        <v>-8.78482955573201E-3</v>
      </c>
      <c r="D909" s="106">
        <v>68387.12</v>
      </c>
      <c r="E909" s="87">
        <f t="shared" si="29"/>
        <v>-1.4689342393303662E-3</v>
      </c>
    </row>
    <row r="910" spans="1:5" x14ac:dyDescent="0.2">
      <c r="A910" s="105" t="s">
        <v>1428</v>
      </c>
      <c r="B910" s="106">
        <v>340</v>
      </c>
      <c r="C910" s="87">
        <f t="shared" si="28"/>
        <v>0</v>
      </c>
      <c r="D910" s="106">
        <v>68256.77</v>
      </c>
      <c r="E910" s="87">
        <f t="shared" si="29"/>
        <v>-1.9078795186455721E-3</v>
      </c>
    </row>
    <row r="911" spans="1:5" x14ac:dyDescent="0.2">
      <c r="A911" s="105" t="s">
        <v>1429</v>
      </c>
      <c r="B911" s="106">
        <v>336</v>
      </c>
      <c r="C911" s="87">
        <f t="shared" si="28"/>
        <v>-1.1834457647003305E-2</v>
      </c>
      <c r="D911" s="106">
        <v>68170.759999999995</v>
      </c>
      <c r="E911" s="87">
        <f t="shared" si="29"/>
        <v>-1.2608893732100057E-3</v>
      </c>
    </row>
    <row r="912" spans="1:5" x14ac:dyDescent="0.2">
      <c r="A912" s="105" t="s">
        <v>1430</v>
      </c>
      <c r="B912" s="106">
        <v>331</v>
      </c>
      <c r="C912" s="87">
        <f t="shared" si="28"/>
        <v>-1.4992784586141283E-2</v>
      </c>
      <c r="D912" s="106">
        <v>67805.789999999994</v>
      </c>
      <c r="E912" s="87">
        <f t="shared" si="29"/>
        <v>-5.3681443814230789E-3</v>
      </c>
    </row>
    <row r="913" spans="1:5" x14ac:dyDescent="0.2">
      <c r="A913" s="105" t="s">
        <v>1431</v>
      </c>
      <c r="B913" s="106">
        <v>337</v>
      </c>
      <c r="C913" s="87">
        <f t="shared" si="28"/>
        <v>1.7964554975298697E-2</v>
      </c>
      <c r="D913" s="106">
        <v>67838.539999999994</v>
      </c>
      <c r="E913" s="87">
        <f t="shared" si="29"/>
        <v>4.828804954311039E-4</v>
      </c>
    </row>
    <row r="914" spans="1:5" x14ac:dyDescent="0.2">
      <c r="A914" s="105" t="s">
        <v>1432</v>
      </c>
      <c r="B914" s="106">
        <v>335</v>
      </c>
      <c r="C914" s="87">
        <f t="shared" si="28"/>
        <v>-5.9523985272953439E-3</v>
      </c>
      <c r="D914" s="106">
        <v>67637.95</v>
      </c>
      <c r="E914" s="87">
        <f t="shared" si="29"/>
        <v>-2.9612539648979919E-3</v>
      </c>
    </row>
    <row r="915" spans="1:5" x14ac:dyDescent="0.2">
      <c r="A915" s="105" t="s">
        <v>1433</v>
      </c>
      <c r="B915" s="106">
        <v>335</v>
      </c>
      <c r="C915" s="87">
        <f t="shared" si="28"/>
        <v>0</v>
      </c>
      <c r="D915" s="106">
        <v>67833.05</v>
      </c>
      <c r="E915" s="87">
        <f t="shared" si="29"/>
        <v>2.8803232408911583E-3</v>
      </c>
    </row>
    <row r="916" spans="1:5" x14ac:dyDescent="0.2">
      <c r="A916" s="105" t="s">
        <v>1434</v>
      </c>
      <c r="B916" s="106">
        <v>330</v>
      </c>
      <c r="C916" s="87">
        <f t="shared" si="28"/>
        <v>-1.5037877364540542E-2</v>
      </c>
      <c r="D916" s="106">
        <v>67346.179999999993</v>
      </c>
      <c r="E916" s="87">
        <f t="shared" si="29"/>
        <v>-7.2033566878317856E-3</v>
      </c>
    </row>
    <row r="917" spans="1:5" x14ac:dyDescent="0.2">
      <c r="A917" s="105" t="s">
        <v>1435</v>
      </c>
      <c r="B917" s="106">
        <v>329</v>
      </c>
      <c r="C917" s="87">
        <f t="shared" si="28"/>
        <v>-3.0349036951538011E-3</v>
      </c>
      <c r="D917" s="106">
        <v>66710.289999999994</v>
      </c>
      <c r="E917" s="87">
        <f t="shared" si="29"/>
        <v>-9.4869687274972136E-3</v>
      </c>
    </row>
    <row r="918" spans="1:5" x14ac:dyDescent="0.2">
      <c r="A918" s="105" t="s">
        <v>1436</v>
      </c>
      <c r="B918" s="106">
        <v>324</v>
      </c>
      <c r="C918" s="87">
        <f t="shared" si="28"/>
        <v>-1.5314234973042851E-2</v>
      </c>
      <c r="D918" s="106">
        <v>67223.210000000006</v>
      </c>
      <c r="E918" s="87">
        <f t="shared" si="29"/>
        <v>7.6593609152268982E-3</v>
      </c>
    </row>
    <row r="919" spans="1:5" x14ac:dyDescent="0.2">
      <c r="A919" s="105" t="s">
        <v>1437</v>
      </c>
      <c r="B919" s="106">
        <v>326</v>
      </c>
      <c r="C919" s="87">
        <f t="shared" si="28"/>
        <v>6.1538655743786919E-3</v>
      </c>
      <c r="D919" s="106">
        <v>67190.720000000001</v>
      </c>
      <c r="E919" s="87">
        <f t="shared" si="29"/>
        <v>-4.8343204655587613E-4</v>
      </c>
    </row>
    <row r="920" spans="1:5" x14ac:dyDescent="0.2">
      <c r="A920" s="105" t="s">
        <v>1438</v>
      </c>
      <c r="B920" s="106">
        <v>323</v>
      </c>
      <c r="C920" s="87">
        <f t="shared" si="28"/>
        <v>-9.2450581440512991E-3</v>
      </c>
      <c r="D920" s="106">
        <v>66882.41</v>
      </c>
      <c r="E920" s="87">
        <f t="shared" si="29"/>
        <v>-4.5991399387759202E-3</v>
      </c>
    </row>
    <row r="921" spans="1:5" x14ac:dyDescent="0.2">
      <c r="A921" s="105" t="s">
        <v>1439</v>
      </c>
      <c r="B921" s="106">
        <v>318</v>
      </c>
      <c r="C921" s="87">
        <f t="shared" si="28"/>
        <v>-1.5600940442479505E-2</v>
      </c>
      <c r="D921" s="106">
        <v>67093.95</v>
      </c>
      <c r="E921" s="87">
        <f t="shared" si="29"/>
        <v>3.1578731619905653E-3</v>
      </c>
    </row>
    <row r="922" spans="1:5" x14ac:dyDescent="0.2">
      <c r="A922" s="105" t="s">
        <v>1440</v>
      </c>
      <c r="B922" s="106">
        <v>324</v>
      </c>
      <c r="C922" s="87">
        <f t="shared" si="28"/>
        <v>1.8692133012152112E-2</v>
      </c>
      <c r="D922" s="106">
        <v>66110.12</v>
      </c>
      <c r="E922" s="87">
        <f t="shared" si="29"/>
        <v>-1.4772039477801258E-2</v>
      </c>
    </row>
    <row r="923" spans="1:5" x14ac:dyDescent="0.2">
      <c r="A923" s="105" t="s">
        <v>1441</v>
      </c>
      <c r="B923" s="106">
        <v>325</v>
      </c>
      <c r="C923" s="87">
        <f t="shared" si="28"/>
        <v>3.0816665374082675E-3</v>
      </c>
      <c r="D923" s="106">
        <v>65737.960000000006</v>
      </c>
      <c r="E923" s="87">
        <f t="shared" si="29"/>
        <v>-5.6453000813689869E-3</v>
      </c>
    </row>
    <row r="924" spans="1:5" x14ac:dyDescent="0.2">
      <c r="A924" s="105" t="s">
        <v>1442</v>
      </c>
      <c r="B924" s="106">
        <v>329</v>
      </c>
      <c r="C924" s="87">
        <f t="shared" si="28"/>
        <v>1.2232568435634583E-2</v>
      </c>
      <c r="D924" s="106">
        <v>67329.440000000002</v>
      </c>
      <c r="E924" s="87">
        <f t="shared" si="29"/>
        <v>2.3921048860145788E-2</v>
      </c>
    </row>
    <row r="925" spans="1:5" x14ac:dyDescent="0.2">
      <c r="A925" s="105" t="s">
        <v>1443</v>
      </c>
      <c r="B925" s="106">
        <v>321</v>
      </c>
      <c r="C925" s="87">
        <f t="shared" si="28"/>
        <v>-2.4616627635356103E-2</v>
      </c>
      <c r="D925" s="106">
        <v>67292.59</v>
      </c>
      <c r="E925" s="87">
        <f t="shared" si="29"/>
        <v>-5.4745870227002058E-4</v>
      </c>
    </row>
    <row r="926" spans="1:5" x14ac:dyDescent="0.2">
      <c r="A926" s="105" t="s">
        <v>1444</v>
      </c>
      <c r="B926" s="106">
        <v>328</v>
      </c>
      <c r="C926" s="87">
        <f t="shared" si="28"/>
        <v>2.157248525412836E-2</v>
      </c>
      <c r="D926" s="106">
        <v>67631.56</v>
      </c>
      <c r="E926" s="87">
        <f t="shared" si="29"/>
        <v>5.0246114302954226E-3</v>
      </c>
    </row>
    <row r="927" spans="1:5" x14ac:dyDescent="0.2">
      <c r="A927" s="105" t="s">
        <v>1445</v>
      </c>
      <c r="B927" s="106">
        <v>334</v>
      </c>
      <c r="C927" s="87">
        <f t="shared" si="28"/>
        <v>1.8127384592556695E-2</v>
      </c>
      <c r="D927" s="106">
        <v>67448.53</v>
      </c>
      <c r="E927" s="87">
        <f t="shared" si="29"/>
        <v>-2.709949512347265E-3</v>
      </c>
    </row>
    <row r="928" spans="1:5" x14ac:dyDescent="0.2">
      <c r="A928" s="105" t="s">
        <v>1446</v>
      </c>
      <c r="B928" s="106">
        <v>333</v>
      </c>
      <c r="C928" s="87">
        <f t="shared" si="28"/>
        <v>-2.9985029962569243E-3</v>
      </c>
      <c r="D928" s="106">
        <v>67162.039999999994</v>
      </c>
      <c r="E928" s="87">
        <f t="shared" si="29"/>
        <v>-4.2565815234816284E-3</v>
      </c>
    </row>
    <row r="929" spans="1:5" x14ac:dyDescent="0.2">
      <c r="A929" s="105" t="s">
        <v>1447</v>
      </c>
      <c r="B929" s="106">
        <v>330</v>
      </c>
      <c r="C929" s="87">
        <f t="shared" si="28"/>
        <v>-9.0498355199182257E-3</v>
      </c>
      <c r="D929" s="106">
        <v>67128.800000000003</v>
      </c>
      <c r="E929" s="87">
        <f t="shared" si="29"/>
        <v>-4.9504494392671461E-4</v>
      </c>
    </row>
    <row r="930" spans="1:5" x14ac:dyDescent="0.2">
      <c r="A930" s="105" t="s">
        <v>1448</v>
      </c>
      <c r="B930" s="106">
        <v>332</v>
      </c>
      <c r="C930" s="87">
        <f t="shared" si="28"/>
        <v>6.0423144559624831E-3</v>
      </c>
      <c r="D930" s="106">
        <v>66598.05</v>
      </c>
      <c r="E930" s="87">
        <f t="shared" si="29"/>
        <v>-7.9378641890244239E-3</v>
      </c>
    </row>
    <row r="931" spans="1:5" x14ac:dyDescent="0.2">
      <c r="A931" s="105" t="s">
        <v>1449</v>
      </c>
      <c r="B931" s="106">
        <v>334</v>
      </c>
      <c r="C931" s="87">
        <f t="shared" si="28"/>
        <v>6.0060240602126669E-3</v>
      </c>
      <c r="D931" s="106">
        <v>67917.27</v>
      </c>
      <c r="E931" s="87">
        <f t="shared" si="29"/>
        <v>1.9615049010569763E-2</v>
      </c>
    </row>
    <row r="932" spans="1:5" x14ac:dyDescent="0.2">
      <c r="A932" s="105" t="s">
        <v>1450</v>
      </c>
      <c r="B932" s="106">
        <v>327</v>
      </c>
      <c r="C932" s="87">
        <f t="shared" si="28"/>
        <v>-2.1180822079447381E-2</v>
      </c>
      <c r="D932" s="106">
        <v>66651.179999999993</v>
      </c>
      <c r="E932" s="87">
        <f t="shared" si="29"/>
        <v>-1.8817595954885746E-2</v>
      </c>
    </row>
    <row r="933" spans="1:5" x14ac:dyDescent="0.2">
      <c r="A933" s="105" t="s">
        <v>1451</v>
      </c>
      <c r="B933" s="106">
        <v>326</v>
      </c>
      <c r="C933" s="87">
        <f t="shared" si="28"/>
        <v>-3.0627895305457287E-3</v>
      </c>
      <c r="D933" s="106">
        <v>67350.36</v>
      </c>
      <c r="E933" s="87">
        <f t="shared" si="29"/>
        <v>1.0435497159566154E-2</v>
      </c>
    </row>
    <row r="934" spans="1:5" x14ac:dyDescent="0.2">
      <c r="A934" s="105" t="s">
        <v>1452</v>
      </c>
      <c r="B934" s="106">
        <v>324</v>
      </c>
      <c r="C934" s="87">
        <f t="shared" si="28"/>
        <v>-6.1538655743786919E-3</v>
      </c>
      <c r="D934" s="106">
        <v>67027.89</v>
      </c>
      <c r="E934" s="87">
        <f t="shared" si="29"/>
        <v>-4.7994466217478049E-3</v>
      </c>
    </row>
    <row r="935" spans="1:5" x14ac:dyDescent="0.2">
      <c r="A935" s="105" t="s">
        <v>424</v>
      </c>
      <c r="B935" s="106">
        <v>324</v>
      </c>
      <c r="C935" s="87">
        <f t="shared" si="28"/>
        <v>0</v>
      </c>
      <c r="D935" s="106">
        <v>66836.25</v>
      </c>
      <c r="E935" s="87">
        <f t="shared" si="29"/>
        <v>-2.8632034078874824E-3</v>
      </c>
    </row>
    <row r="936" spans="1:5" x14ac:dyDescent="0.2">
      <c r="A936" s="105" t="s">
        <v>1453</v>
      </c>
      <c r="B936" s="106">
        <v>320</v>
      </c>
      <c r="C936" s="87">
        <f t="shared" si="28"/>
        <v>-1.2422519998557036E-2</v>
      </c>
      <c r="D936" s="106">
        <v>66067.210000000006</v>
      </c>
      <c r="E936" s="87">
        <f t="shared" si="29"/>
        <v>-1.1573040813926738E-2</v>
      </c>
    </row>
    <row r="937" spans="1:5" x14ac:dyDescent="0.2">
      <c r="A937" s="105" t="s">
        <v>1454</v>
      </c>
      <c r="B937" s="106">
        <v>320</v>
      </c>
      <c r="C937" s="87">
        <f t="shared" si="28"/>
        <v>0</v>
      </c>
      <c r="D937" s="106">
        <v>67264.87</v>
      </c>
      <c r="E937" s="87">
        <f t="shared" si="29"/>
        <v>1.7965552071105506E-2</v>
      </c>
    </row>
    <row r="938" spans="1:5" x14ac:dyDescent="0.2">
      <c r="A938" s="105" t="s">
        <v>1455</v>
      </c>
      <c r="B938" s="106">
        <v>324</v>
      </c>
      <c r="C938" s="87">
        <f t="shared" si="28"/>
        <v>1.2422519998557036E-2</v>
      </c>
      <c r="D938" s="106">
        <v>67999.070000000007</v>
      </c>
      <c r="E938" s="87">
        <f t="shared" si="29"/>
        <v>1.0855919330783337E-2</v>
      </c>
    </row>
    <row r="939" spans="1:5" x14ac:dyDescent="0.2">
      <c r="A939" s="105" t="s">
        <v>1456</v>
      </c>
      <c r="B939" s="106">
        <v>323</v>
      </c>
      <c r="C939" s="87">
        <f t="shared" si="28"/>
        <v>-3.0911925696726072E-3</v>
      </c>
      <c r="D939" s="106">
        <v>67947.66</v>
      </c>
      <c r="E939" s="87">
        <f t="shared" si="29"/>
        <v>-7.563256939047136E-4</v>
      </c>
    </row>
    <row r="940" spans="1:5" x14ac:dyDescent="0.2">
      <c r="A940" s="105" t="s">
        <v>1457</v>
      </c>
      <c r="B940" s="106">
        <v>324</v>
      </c>
      <c r="C940" s="87">
        <f t="shared" si="28"/>
        <v>3.0911925696726072E-3</v>
      </c>
      <c r="D940" s="106">
        <v>67745.39</v>
      </c>
      <c r="E940" s="87">
        <f t="shared" si="29"/>
        <v>-2.9812897538405991E-3</v>
      </c>
    </row>
    <row r="941" spans="1:5" x14ac:dyDescent="0.2">
      <c r="A941" s="105" t="s">
        <v>1458</v>
      </c>
      <c r="B941" s="106">
        <v>316</v>
      </c>
      <c r="C941" s="87">
        <f t="shared" si="28"/>
        <v>-2.5001302205416742E-2</v>
      </c>
      <c r="D941" s="106">
        <v>66733.759999999995</v>
      </c>
      <c r="E941" s="87">
        <f t="shared" si="29"/>
        <v>-1.5045441365284518E-2</v>
      </c>
    </row>
    <row r="942" spans="1:5" x14ac:dyDescent="0.2">
      <c r="A942" s="105" t="s">
        <v>1459</v>
      </c>
      <c r="B942" s="106">
        <v>307</v>
      </c>
      <c r="C942" s="87">
        <f t="shared" si="28"/>
        <v>-2.8894465999715457E-2</v>
      </c>
      <c r="D942" s="106">
        <v>66200.05</v>
      </c>
      <c r="E942" s="87">
        <f t="shared" si="29"/>
        <v>-8.0297535692785971E-3</v>
      </c>
    </row>
    <row r="943" spans="1:5" x14ac:dyDescent="0.2">
      <c r="A943" s="105" t="s">
        <v>1460</v>
      </c>
      <c r="B943" s="106">
        <v>300</v>
      </c>
      <c r="C943" s="87">
        <f t="shared" si="28"/>
        <v>-2.3065272930995917E-2</v>
      </c>
      <c r="D943" s="106">
        <v>65947.240000000005</v>
      </c>
      <c r="E943" s="87">
        <f t="shared" si="29"/>
        <v>-3.8261898283717954E-3</v>
      </c>
    </row>
    <row r="944" spans="1:5" x14ac:dyDescent="0.2">
      <c r="A944" s="105" t="s">
        <v>1461</v>
      </c>
      <c r="B944" s="106">
        <v>308</v>
      </c>
      <c r="C944" s="87">
        <f t="shared" si="28"/>
        <v>2.6317308317373111E-2</v>
      </c>
      <c r="D944" s="106">
        <v>65988.89</v>
      </c>
      <c r="E944" s="87">
        <f t="shared" si="29"/>
        <v>6.3136612213199328E-4</v>
      </c>
    </row>
    <row r="945" spans="1:5" x14ac:dyDescent="0.2">
      <c r="A945" s="105" t="s">
        <v>1462</v>
      </c>
      <c r="B945" s="106">
        <v>308</v>
      </c>
      <c r="C945" s="87">
        <f t="shared" si="28"/>
        <v>0</v>
      </c>
      <c r="D945" s="106">
        <v>65806.48</v>
      </c>
      <c r="E945" s="87">
        <f t="shared" si="29"/>
        <v>-2.7680807978747168E-3</v>
      </c>
    </row>
    <row r="946" spans="1:5" x14ac:dyDescent="0.2">
      <c r="A946" s="105" t="s">
        <v>1463</v>
      </c>
      <c r="B946" s="106">
        <v>317</v>
      </c>
      <c r="C946" s="87">
        <f t="shared" si="28"/>
        <v>2.8801990903706276E-2</v>
      </c>
      <c r="D946" s="106">
        <v>66180.17</v>
      </c>
      <c r="E946" s="87">
        <f t="shared" si="29"/>
        <v>5.6625575164837016E-3</v>
      </c>
    </row>
    <row r="947" spans="1:5" x14ac:dyDescent="0.2">
      <c r="A947" s="105" t="s">
        <v>1464</v>
      </c>
      <c r="B947" s="106">
        <v>329</v>
      </c>
      <c r="C947" s="87">
        <f t="shared" si="28"/>
        <v>3.715597688809158E-2</v>
      </c>
      <c r="D947" s="106">
        <v>66316.44</v>
      </c>
      <c r="E947" s="87">
        <f t="shared" si="29"/>
        <v>2.0569590127230697E-3</v>
      </c>
    </row>
    <row r="948" spans="1:5" x14ac:dyDescent="0.2">
      <c r="A948" s="105" t="s">
        <v>1465</v>
      </c>
      <c r="B948" s="106">
        <v>335</v>
      </c>
      <c r="C948" s="87">
        <f t="shared" si="28"/>
        <v>1.8072781059694343E-2</v>
      </c>
      <c r="D948" s="106">
        <v>66924.39</v>
      </c>
      <c r="E948" s="87">
        <f t="shared" si="29"/>
        <v>9.1256444294849359E-3</v>
      </c>
    </row>
    <row r="949" spans="1:5" x14ac:dyDescent="0.2">
      <c r="A949" s="105" t="s">
        <v>1466</v>
      </c>
      <c r="B949" s="106">
        <v>333</v>
      </c>
      <c r="C949" s="87">
        <f t="shared" si="28"/>
        <v>-5.988041844622316E-3</v>
      </c>
      <c r="D949" s="106">
        <v>66210.63</v>
      </c>
      <c r="E949" s="87">
        <f t="shared" si="29"/>
        <v>-1.0722450613801726E-2</v>
      </c>
    </row>
    <row r="950" spans="1:5" x14ac:dyDescent="0.2">
      <c r="A950" s="105" t="s">
        <v>1467</v>
      </c>
      <c r="B950" s="106">
        <v>336</v>
      </c>
      <c r="C950" s="87">
        <f t="shared" si="28"/>
        <v>8.9686699827602467E-3</v>
      </c>
      <c r="D950" s="106">
        <v>66507.19</v>
      </c>
      <c r="E950" s="87">
        <f t="shared" si="29"/>
        <v>4.4690380475191915E-3</v>
      </c>
    </row>
    <row r="951" spans="1:5" x14ac:dyDescent="0.2">
      <c r="A951" s="105" t="s">
        <v>1468</v>
      </c>
      <c r="B951" s="106">
        <v>339</v>
      </c>
      <c r="C951" s="87">
        <f t="shared" si="28"/>
        <v>8.8889474172457739E-3</v>
      </c>
      <c r="D951" s="106">
        <v>66114.559999999998</v>
      </c>
      <c r="E951" s="87">
        <f t="shared" si="29"/>
        <v>-5.9210672020508781E-3</v>
      </c>
    </row>
    <row r="952" spans="1:5" x14ac:dyDescent="0.2">
      <c r="A952" s="105" t="s">
        <v>1469</v>
      </c>
      <c r="B952" s="106">
        <v>345</v>
      </c>
      <c r="C952" s="87">
        <f t="shared" si="28"/>
        <v>1.754430965091025E-2</v>
      </c>
      <c r="D952" s="106">
        <v>66497.710000000006</v>
      </c>
      <c r="E952" s="87">
        <f t="shared" si="29"/>
        <v>5.7785160627172871E-3</v>
      </c>
    </row>
    <row r="953" spans="1:5" x14ac:dyDescent="0.2">
      <c r="A953" s="105" t="s">
        <v>1470</v>
      </c>
      <c r="B953" s="106">
        <v>340</v>
      </c>
      <c r="C953" s="87">
        <f t="shared" si="28"/>
        <v>-1.4598799421152719E-2</v>
      </c>
      <c r="D953" s="106">
        <v>66771.72</v>
      </c>
      <c r="E953" s="87">
        <f t="shared" si="29"/>
        <v>4.1121266312327265E-3</v>
      </c>
    </row>
    <row r="954" spans="1:5" x14ac:dyDescent="0.2">
      <c r="A954" s="105" t="s">
        <v>1471</v>
      </c>
      <c r="B954" s="106">
        <v>340</v>
      </c>
      <c r="C954" s="87">
        <f t="shared" si="28"/>
        <v>0</v>
      </c>
      <c r="D954" s="106">
        <v>66877.179999999993</v>
      </c>
      <c r="E954" s="87">
        <f t="shared" si="29"/>
        <v>1.578165205822657E-3</v>
      </c>
    </row>
    <row r="955" spans="1:5" x14ac:dyDescent="0.2">
      <c r="A955" s="105" t="s">
        <v>1472</v>
      </c>
      <c r="B955" s="106">
        <v>344</v>
      </c>
      <c r="C955" s="87">
        <f t="shared" si="28"/>
        <v>1.1696039763190669E-2</v>
      </c>
      <c r="D955" s="106">
        <v>66757.97</v>
      </c>
      <c r="E955" s="87">
        <f t="shared" si="29"/>
        <v>-1.7841119139827555E-3</v>
      </c>
    </row>
    <row r="956" spans="1:5" x14ac:dyDescent="0.2">
      <c r="A956" s="105" t="s">
        <v>425</v>
      </c>
      <c r="B956" s="106">
        <v>343</v>
      </c>
      <c r="C956" s="87">
        <f t="shared" si="28"/>
        <v>-2.9112102074586588E-3</v>
      </c>
      <c r="D956" s="106">
        <v>66278.91</v>
      </c>
      <c r="E956" s="87">
        <f t="shared" si="29"/>
        <v>-7.2019438618085019E-3</v>
      </c>
    </row>
    <row r="957" spans="1:5" x14ac:dyDescent="0.2">
      <c r="A957" s="105" t="s">
        <v>1473</v>
      </c>
      <c r="B957" s="106">
        <v>347</v>
      </c>
      <c r="C957" s="87">
        <f t="shared" si="28"/>
        <v>1.1594332780919814E-2</v>
      </c>
      <c r="D957" s="106">
        <v>66284.710000000006</v>
      </c>
      <c r="E957" s="87">
        <f t="shared" si="29"/>
        <v>8.750515418576299E-5</v>
      </c>
    </row>
    <row r="958" spans="1:5" x14ac:dyDescent="0.2">
      <c r="A958" s="105" t="s">
        <v>1474</v>
      </c>
      <c r="B958" s="106">
        <v>353</v>
      </c>
      <c r="C958" s="87">
        <f t="shared" si="28"/>
        <v>1.714327698643725E-2</v>
      </c>
      <c r="D958" s="106">
        <v>66195.47</v>
      </c>
      <c r="E958" s="87">
        <f t="shared" si="29"/>
        <v>-1.3472205955267214E-3</v>
      </c>
    </row>
    <row r="959" spans="1:5" x14ac:dyDescent="0.2">
      <c r="A959" s="105" t="s">
        <v>1475</v>
      </c>
      <c r="B959" s="106">
        <v>344</v>
      </c>
      <c r="C959" s="87">
        <f t="shared" si="28"/>
        <v>-2.5826399559898405E-2</v>
      </c>
      <c r="D959" s="106">
        <v>65400.51</v>
      </c>
      <c r="E959" s="87">
        <f t="shared" si="29"/>
        <v>-1.208197500068664E-2</v>
      </c>
    </row>
    <row r="960" spans="1:5" x14ac:dyDescent="0.2">
      <c r="A960" s="105" t="s">
        <v>1476</v>
      </c>
      <c r="B960" s="106">
        <v>349</v>
      </c>
      <c r="C960" s="87">
        <f t="shared" si="28"/>
        <v>1.4430264829028872E-2</v>
      </c>
      <c r="D960" s="106">
        <v>64427.81</v>
      </c>
      <c r="E960" s="87">
        <f t="shared" si="29"/>
        <v>-1.4984684402172377E-2</v>
      </c>
    </row>
    <row r="961" spans="1:5" x14ac:dyDescent="0.2">
      <c r="A961" s="105" t="s">
        <v>1477</v>
      </c>
      <c r="B961" s="106">
        <v>380</v>
      </c>
      <c r="C961" s="87">
        <f t="shared" si="28"/>
        <v>8.5099330518004557E-2</v>
      </c>
      <c r="D961" s="106">
        <v>64055.199999999997</v>
      </c>
      <c r="E961" s="87">
        <f t="shared" si="29"/>
        <v>-5.8001605754309793E-3</v>
      </c>
    </row>
    <row r="962" spans="1:5" x14ac:dyDescent="0.2">
      <c r="A962" s="105" t="s">
        <v>1478</v>
      </c>
      <c r="B962" s="106">
        <v>383</v>
      </c>
      <c r="C962" s="87">
        <f t="shared" si="28"/>
        <v>7.8637364602140991E-3</v>
      </c>
      <c r="D962" s="106">
        <v>63639.360000000001</v>
      </c>
      <c r="E962" s="87">
        <f t="shared" si="29"/>
        <v>-6.5130647694591204E-3</v>
      </c>
    </row>
    <row r="963" spans="1:5" x14ac:dyDescent="0.2">
      <c r="A963" s="105" t="s">
        <v>1479</v>
      </c>
      <c r="B963" s="106">
        <v>380</v>
      </c>
      <c r="C963" s="87">
        <f t="shared" si="28"/>
        <v>-7.8637364602140991E-3</v>
      </c>
      <c r="D963" s="106">
        <v>63626.19</v>
      </c>
      <c r="E963" s="87">
        <f t="shared" si="29"/>
        <v>-2.0696881515824828E-4</v>
      </c>
    </row>
    <row r="964" spans="1:5" x14ac:dyDescent="0.2">
      <c r="A964" s="105" t="s">
        <v>1480</v>
      </c>
      <c r="B964" s="106">
        <v>378</v>
      </c>
      <c r="C964" s="87">
        <f t="shared" si="28"/>
        <v>-5.2770571008435851E-3</v>
      </c>
      <c r="D964" s="106">
        <v>63262.41</v>
      </c>
      <c r="E964" s="87">
        <f t="shared" si="29"/>
        <v>-5.7338641402253643E-3</v>
      </c>
    </row>
    <row r="965" spans="1:5" x14ac:dyDescent="0.2">
      <c r="A965" s="105" t="s">
        <v>1481</v>
      </c>
      <c r="B965" s="106">
        <v>379</v>
      </c>
      <c r="C965" s="87">
        <f t="shared" ref="C965:C1028" si="30">LN(B965)-LN(B964)</f>
        <v>2.6420094628383239E-3</v>
      </c>
      <c r="D965" s="106">
        <v>62778.65</v>
      </c>
      <c r="E965" s="87">
        <f t="shared" ref="E965:E1028" si="31">LN(D965)-LN(D964)</f>
        <v>-7.6762663764249339E-3</v>
      </c>
    </row>
    <row r="966" spans="1:5" x14ac:dyDescent="0.2">
      <c r="A966" s="105" t="s">
        <v>1482</v>
      </c>
      <c r="B966" s="106">
        <v>378</v>
      </c>
      <c r="C966" s="87">
        <f t="shared" si="30"/>
        <v>-2.6420094628383239E-3</v>
      </c>
      <c r="D966" s="106">
        <v>63307.199999999997</v>
      </c>
      <c r="E966" s="87">
        <f t="shared" si="31"/>
        <v>8.3840192385800094E-3</v>
      </c>
    </row>
    <row r="967" spans="1:5" x14ac:dyDescent="0.2">
      <c r="A967" s="105" t="s">
        <v>1483</v>
      </c>
      <c r="B967" s="106">
        <v>377</v>
      </c>
      <c r="C967" s="87">
        <f t="shared" si="30"/>
        <v>-2.6490081715770941E-3</v>
      </c>
      <c r="D967" s="106">
        <v>63095.13</v>
      </c>
      <c r="E967" s="87">
        <f t="shared" si="31"/>
        <v>-3.3554792697092495E-3</v>
      </c>
    </row>
    <row r="968" spans="1:5" x14ac:dyDescent="0.2">
      <c r="A968" s="105" t="s">
        <v>1484</v>
      </c>
      <c r="B968" s="106">
        <v>390</v>
      </c>
      <c r="C968" s="87">
        <f t="shared" si="30"/>
        <v>3.3901551675681318E-2</v>
      </c>
      <c r="D968" s="106">
        <v>62237.55</v>
      </c>
      <c r="E968" s="87">
        <f t="shared" si="31"/>
        <v>-1.3685072145733557E-2</v>
      </c>
    </row>
    <row r="969" spans="1:5" x14ac:dyDescent="0.2">
      <c r="A969" s="105" t="s">
        <v>1485</v>
      </c>
      <c r="B969" s="106">
        <v>381</v>
      </c>
      <c r="C969" s="87">
        <f t="shared" si="30"/>
        <v>-2.3347363996991E-2</v>
      </c>
      <c r="D969" s="106">
        <v>62004.52</v>
      </c>
      <c r="E969" s="87">
        <f t="shared" si="31"/>
        <v>-3.7512297285644536E-3</v>
      </c>
    </row>
    <row r="970" spans="1:5" x14ac:dyDescent="0.2">
      <c r="A970" s="105" t="s">
        <v>1486</v>
      </c>
      <c r="B970" s="106">
        <v>372</v>
      </c>
      <c r="C970" s="87">
        <f t="shared" si="30"/>
        <v>-2.3905520853555018E-2</v>
      </c>
      <c r="D970" s="106">
        <v>62214.14</v>
      </c>
      <c r="E970" s="87">
        <f t="shared" si="31"/>
        <v>3.375019485439168E-3</v>
      </c>
    </row>
    <row r="971" spans="1:5" x14ac:dyDescent="0.2">
      <c r="A971" s="105" t="s">
        <v>1487</v>
      </c>
      <c r="B971" s="106">
        <v>368</v>
      </c>
      <c r="C971" s="87">
        <f t="shared" si="30"/>
        <v>-1.0810916104214918E-2</v>
      </c>
      <c r="D971" s="106">
        <v>62552.31</v>
      </c>
      <c r="E971" s="87">
        <f t="shared" si="31"/>
        <v>5.4208615876181199E-3</v>
      </c>
    </row>
    <row r="972" spans="1:5" x14ac:dyDescent="0.2">
      <c r="A972" s="105" t="s">
        <v>1488</v>
      </c>
      <c r="B972" s="106">
        <v>364</v>
      </c>
      <c r="C972" s="87">
        <f t="shared" si="30"/>
        <v>-1.0929070532190721E-2</v>
      </c>
      <c r="D972" s="106">
        <v>62757.16</v>
      </c>
      <c r="E972" s="87">
        <f t="shared" si="31"/>
        <v>3.2695084015887943E-3</v>
      </c>
    </row>
    <row r="973" spans="1:5" x14ac:dyDescent="0.2">
      <c r="A973" s="105" t="s">
        <v>1489</v>
      </c>
      <c r="B973" s="106">
        <v>357</v>
      </c>
      <c r="C973" s="87">
        <f t="shared" si="30"/>
        <v>-1.9418085857101808E-2</v>
      </c>
      <c r="D973" s="106">
        <v>62109</v>
      </c>
      <c r="E973" s="87">
        <f t="shared" si="31"/>
        <v>-1.03817691135486E-2</v>
      </c>
    </row>
    <row r="974" spans="1:5" x14ac:dyDescent="0.2">
      <c r="A974" s="105" t="s">
        <v>1490</v>
      </c>
      <c r="B974" s="106">
        <v>354</v>
      </c>
      <c r="C974" s="87">
        <f t="shared" si="30"/>
        <v>-8.4388686458645168E-3</v>
      </c>
      <c r="D974" s="106">
        <v>60898.92</v>
      </c>
      <c r="E974" s="87">
        <f t="shared" si="31"/>
        <v>-1.9675465406228554E-2</v>
      </c>
    </row>
    <row r="975" spans="1:5" x14ac:dyDescent="0.2">
      <c r="A975" s="105" t="s">
        <v>1491</v>
      </c>
      <c r="B975" s="106">
        <v>376</v>
      </c>
      <c r="C975" s="87">
        <f t="shared" si="30"/>
        <v>6.0292230256120405E-2</v>
      </c>
      <c r="D975" s="106">
        <v>60936.81</v>
      </c>
      <c r="E975" s="87">
        <f t="shared" si="31"/>
        <v>6.2198504858201886E-4</v>
      </c>
    </row>
    <row r="976" spans="1:5" x14ac:dyDescent="0.2">
      <c r="A976" s="105" t="s">
        <v>1492</v>
      </c>
      <c r="B976" s="106">
        <v>375</v>
      </c>
      <c r="C976" s="87">
        <f t="shared" si="30"/>
        <v>-2.6631174194839957E-3</v>
      </c>
      <c r="D976" s="106">
        <v>59960.14</v>
      </c>
      <c r="E976" s="87">
        <f t="shared" si="31"/>
        <v>-1.6157417495438864E-2</v>
      </c>
    </row>
    <row r="977" spans="1:5" x14ac:dyDescent="0.2">
      <c r="A977" s="105" t="s">
        <v>1493</v>
      </c>
      <c r="B977" s="106">
        <v>409</v>
      </c>
      <c r="C977" s="87">
        <f t="shared" si="30"/>
        <v>8.6789130072391529E-2</v>
      </c>
      <c r="D977" s="106">
        <v>60810.55</v>
      </c>
      <c r="E977" s="87">
        <f t="shared" si="31"/>
        <v>1.4083285534557177E-2</v>
      </c>
    </row>
    <row r="978" spans="1:5" x14ac:dyDescent="0.2">
      <c r="A978" s="105" t="s">
        <v>1494</v>
      </c>
      <c r="B978" s="106">
        <v>408</v>
      </c>
      <c r="C978" s="87">
        <f t="shared" si="30"/>
        <v>-2.4479816386406839E-3</v>
      </c>
      <c r="D978" s="106">
        <v>61043.33</v>
      </c>
      <c r="E978" s="87">
        <f t="shared" si="31"/>
        <v>3.8206462225733873E-3</v>
      </c>
    </row>
    <row r="979" spans="1:5" x14ac:dyDescent="0.2">
      <c r="A979" s="105" t="s">
        <v>1495</v>
      </c>
      <c r="B979" s="106">
        <v>393</v>
      </c>
      <c r="C979" s="87">
        <f t="shared" si="30"/>
        <v>-3.7457562534900291E-2</v>
      </c>
      <c r="D979" s="106">
        <v>60462.400000000001</v>
      </c>
      <c r="E979" s="87">
        <f t="shared" si="31"/>
        <v>-9.562255648711826E-3</v>
      </c>
    </row>
    <row r="980" spans="1:5" x14ac:dyDescent="0.2">
      <c r="A980" s="105" t="s">
        <v>1496</v>
      </c>
      <c r="B980" s="106">
        <v>392</v>
      </c>
      <c r="C980" s="87">
        <f t="shared" si="30"/>
        <v>-2.5477720787989711E-3</v>
      </c>
      <c r="D980" s="106">
        <v>59654.18</v>
      </c>
      <c r="E980" s="87">
        <f t="shared" si="31"/>
        <v>-1.3457462701193634E-2</v>
      </c>
    </row>
    <row r="981" spans="1:5" x14ac:dyDescent="0.2">
      <c r="A981" s="105" t="s">
        <v>1497</v>
      </c>
      <c r="B981" s="106">
        <v>390</v>
      </c>
      <c r="C981" s="87">
        <f t="shared" si="30"/>
        <v>-5.1151006667700116E-3</v>
      </c>
      <c r="D981" s="106">
        <v>59731.040000000001</v>
      </c>
      <c r="E981" s="87">
        <f t="shared" si="31"/>
        <v>1.2875967497301133E-3</v>
      </c>
    </row>
    <row r="982" spans="1:5" x14ac:dyDescent="0.2">
      <c r="A982" s="105" t="s">
        <v>1498</v>
      </c>
      <c r="B982" s="106">
        <v>390</v>
      </c>
      <c r="C982" s="87">
        <f t="shared" si="30"/>
        <v>0</v>
      </c>
      <c r="D982" s="106">
        <v>59355.67</v>
      </c>
      <c r="E982" s="87">
        <f t="shared" si="31"/>
        <v>-6.304166823960955E-3</v>
      </c>
    </row>
    <row r="983" spans="1:5" x14ac:dyDescent="0.2">
      <c r="A983" s="105" t="s">
        <v>1499</v>
      </c>
      <c r="B983" s="106">
        <v>394</v>
      </c>
      <c r="C983" s="87">
        <f t="shared" si="30"/>
        <v>1.0204170174241689E-2</v>
      </c>
      <c r="D983" s="106">
        <v>59376.35</v>
      </c>
      <c r="E983" s="87">
        <f t="shared" si="31"/>
        <v>3.4834748383971714E-4</v>
      </c>
    </row>
    <row r="984" spans="1:5" x14ac:dyDescent="0.2">
      <c r="A984" s="105" t="s">
        <v>1500</v>
      </c>
      <c r="B984" s="106">
        <v>391</v>
      </c>
      <c r="C984" s="87">
        <f t="shared" si="30"/>
        <v>-7.6433493125680485E-3</v>
      </c>
      <c r="D984" s="106">
        <v>59083.55</v>
      </c>
      <c r="E984" s="87">
        <f t="shared" si="31"/>
        <v>-4.943455064216451E-3</v>
      </c>
    </row>
    <row r="985" spans="1:5" x14ac:dyDescent="0.2">
      <c r="A985" s="105" t="s">
        <v>1501</v>
      </c>
      <c r="B985" s="106">
        <v>394</v>
      </c>
      <c r="C985" s="87">
        <f t="shared" si="30"/>
        <v>7.6433493125680485E-3</v>
      </c>
      <c r="D985" s="106">
        <v>59386.5</v>
      </c>
      <c r="E985" s="87">
        <f t="shared" si="31"/>
        <v>5.1143839367515653E-3</v>
      </c>
    </row>
    <row r="986" spans="1:5" x14ac:dyDescent="0.2">
      <c r="A986" s="105" t="s">
        <v>1502</v>
      </c>
      <c r="B986" s="106">
        <v>390</v>
      </c>
      <c r="C986" s="87">
        <f t="shared" si="30"/>
        <v>-1.0204170174241689E-2</v>
      </c>
      <c r="D986" s="106">
        <v>59785.22</v>
      </c>
      <c r="E986" s="87">
        <f t="shared" si="31"/>
        <v>6.691545406610544E-3</v>
      </c>
    </row>
    <row r="987" spans="1:5" x14ac:dyDescent="0.2">
      <c r="A987" s="105" t="s">
        <v>1503</v>
      </c>
      <c r="B987" s="106">
        <v>394</v>
      </c>
      <c r="C987" s="87">
        <f t="shared" si="30"/>
        <v>1.0204170174241689E-2</v>
      </c>
      <c r="D987" s="106">
        <v>60158.720000000001</v>
      </c>
      <c r="E987" s="87">
        <f t="shared" si="31"/>
        <v>6.2279296019109864E-3</v>
      </c>
    </row>
    <row r="988" spans="1:5" x14ac:dyDescent="0.2">
      <c r="A988" s="105" t="s">
        <v>1504</v>
      </c>
      <c r="B988" s="106">
        <v>394</v>
      </c>
      <c r="C988" s="87">
        <f t="shared" si="30"/>
        <v>0</v>
      </c>
      <c r="D988" s="106">
        <v>60279.93</v>
      </c>
      <c r="E988" s="87">
        <f t="shared" si="31"/>
        <v>2.0128096906191217E-3</v>
      </c>
    </row>
    <row r="989" spans="1:5" x14ac:dyDescent="0.2">
      <c r="A989" s="105" t="s">
        <v>1505</v>
      </c>
      <c r="B989" s="106">
        <v>392</v>
      </c>
      <c r="C989" s="87">
        <f t="shared" si="30"/>
        <v>-5.0890695074716774E-3</v>
      </c>
      <c r="D989" s="106">
        <v>60146.63</v>
      </c>
      <c r="E989" s="87">
        <f t="shared" si="31"/>
        <v>-2.2137982591345917E-3</v>
      </c>
    </row>
    <row r="990" spans="1:5" x14ac:dyDescent="0.2">
      <c r="A990" s="105" t="s">
        <v>1506</v>
      </c>
      <c r="B990" s="106">
        <v>397</v>
      </c>
      <c r="C990" s="87">
        <f t="shared" si="30"/>
        <v>1.2674440896728534E-2</v>
      </c>
      <c r="D990" s="106">
        <v>59413.21</v>
      </c>
      <c r="E990" s="87">
        <f t="shared" si="31"/>
        <v>-1.2268822035101934E-2</v>
      </c>
    </row>
    <row r="991" spans="1:5" x14ac:dyDescent="0.2">
      <c r="A991" s="105" t="s">
        <v>1507</v>
      </c>
      <c r="B991" s="106">
        <v>398</v>
      </c>
      <c r="C991" s="87">
        <f t="shared" si="30"/>
        <v>2.5157245972469156E-3</v>
      </c>
      <c r="D991" s="106">
        <v>59645.06</v>
      </c>
      <c r="E991" s="87">
        <f t="shared" si="31"/>
        <v>3.8947364694141839E-3</v>
      </c>
    </row>
    <row r="992" spans="1:5" x14ac:dyDescent="0.2">
      <c r="A992" s="105" t="s">
        <v>1508</v>
      </c>
      <c r="B992" s="106">
        <v>397</v>
      </c>
      <c r="C992" s="87">
        <f t="shared" si="30"/>
        <v>-2.5157245972469156E-3</v>
      </c>
      <c r="D992" s="106">
        <v>59389.97</v>
      </c>
      <c r="E992" s="87">
        <f t="shared" si="31"/>
        <v>-4.2859717931893471E-3</v>
      </c>
    </row>
    <row r="993" spans="1:5" x14ac:dyDescent="0.2">
      <c r="A993" s="105" t="s">
        <v>1509</v>
      </c>
      <c r="B993" s="106">
        <v>396</v>
      </c>
      <c r="C993" s="87">
        <f t="shared" si="30"/>
        <v>-2.5220694327101612E-3</v>
      </c>
      <c r="D993" s="106">
        <v>59435.58</v>
      </c>
      <c r="E993" s="87">
        <f t="shared" si="31"/>
        <v>7.6768005264860051E-4</v>
      </c>
    </row>
    <row r="994" spans="1:5" x14ac:dyDescent="0.2">
      <c r="A994" s="105" t="s">
        <v>1510</v>
      </c>
      <c r="B994" s="106">
        <v>397</v>
      </c>
      <c r="C994" s="87">
        <f t="shared" si="30"/>
        <v>2.5220694327101612E-3</v>
      </c>
      <c r="D994" s="106">
        <v>59695.31</v>
      </c>
      <c r="E994" s="87">
        <f t="shared" si="31"/>
        <v>4.360420903868345E-3</v>
      </c>
    </row>
    <row r="995" spans="1:5" x14ac:dyDescent="0.2">
      <c r="A995" s="105" t="s">
        <v>1511</v>
      </c>
      <c r="B995" s="106">
        <v>394</v>
      </c>
      <c r="C995" s="87">
        <f t="shared" si="30"/>
        <v>-7.5853713892568564E-3</v>
      </c>
      <c r="D995" s="106">
        <v>60023.32</v>
      </c>
      <c r="E995" s="87">
        <f t="shared" si="31"/>
        <v>5.4796955288303195E-3</v>
      </c>
    </row>
    <row r="996" spans="1:5" x14ac:dyDescent="0.2">
      <c r="A996" s="105" t="s">
        <v>427</v>
      </c>
      <c r="B996" s="106">
        <v>393</v>
      </c>
      <c r="C996" s="87">
        <f t="shared" si="30"/>
        <v>-2.5412974286727064E-3</v>
      </c>
      <c r="D996" s="106">
        <v>58512.71</v>
      </c>
      <c r="E996" s="87">
        <f t="shared" si="31"/>
        <v>-2.5489157780981486E-2</v>
      </c>
    </row>
    <row r="997" spans="1:5" x14ac:dyDescent="0.2">
      <c r="A997" s="105" t="s">
        <v>1512</v>
      </c>
      <c r="B997" s="106">
        <v>390</v>
      </c>
      <c r="C997" s="87">
        <f t="shared" si="30"/>
        <v>-7.6628727455689827E-3</v>
      </c>
      <c r="D997" s="106">
        <v>58081.5</v>
      </c>
      <c r="E997" s="87">
        <f t="shared" si="31"/>
        <v>-7.396798967137741E-3</v>
      </c>
    </row>
    <row r="998" spans="1:5" x14ac:dyDescent="0.2">
      <c r="A998" s="105" t="s">
        <v>1513</v>
      </c>
      <c r="B998" s="106">
        <v>396</v>
      </c>
      <c r="C998" s="87">
        <f t="shared" si="30"/>
        <v>1.5267472130788384E-2</v>
      </c>
      <c r="D998" s="106">
        <v>58249.46</v>
      </c>
      <c r="E998" s="87">
        <f t="shared" si="31"/>
        <v>2.8876253872489599E-3</v>
      </c>
    </row>
    <row r="999" spans="1:5" x14ac:dyDescent="0.2">
      <c r="A999" s="105" t="s">
        <v>1514</v>
      </c>
      <c r="B999" s="106">
        <v>398</v>
      </c>
      <c r="C999" s="87">
        <f t="shared" si="30"/>
        <v>5.0377940299570767E-3</v>
      </c>
      <c r="D999" s="106">
        <v>58444.34</v>
      </c>
      <c r="E999" s="87">
        <f t="shared" si="31"/>
        <v>3.3400263110774375E-3</v>
      </c>
    </row>
    <row r="1000" spans="1:5" x14ac:dyDescent="0.2">
      <c r="A1000" s="105" t="s">
        <v>1515</v>
      </c>
      <c r="B1000" s="106">
        <v>398</v>
      </c>
      <c r="C1000" s="87">
        <f t="shared" si="30"/>
        <v>0</v>
      </c>
      <c r="D1000" s="106">
        <v>57525.64</v>
      </c>
      <c r="E1000" s="87">
        <f t="shared" si="31"/>
        <v>-1.5844086870544061E-2</v>
      </c>
    </row>
    <row r="1001" spans="1:5" x14ac:dyDescent="0.2">
      <c r="A1001" s="105" t="s">
        <v>1516</v>
      </c>
      <c r="B1001" s="106">
        <v>392</v>
      </c>
      <c r="C1001" s="87">
        <f t="shared" si="30"/>
        <v>-1.5190165493975449E-2</v>
      </c>
      <c r="D1001" s="106">
        <v>56448.66</v>
      </c>
      <c r="E1001" s="87">
        <f t="shared" si="31"/>
        <v>-1.8899208964262115E-2</v>
      </c>
    </row>
    <row r="1002" spans="1:5" x14ac:dyDescent="0.2">
      <c r="A1002" s="105" t="s">
        <v>1517</v>
      </c>
      <c r="B1002" s="106">
        <v>390</v>
      </c>
      <c r="C1002" s="87">
        <f t="shared" si="30"/>
        <v>-5.1151006667700116E-3</v>
      </c>
      <c r="D1002" s="106">
        <v>57082.3</v>
      </c>
      <c r="E1002" s="87">
        <f t="shared" si="31"/>
        <v>1.1162533627752325E-2</v>
      </c>
    </row>
    <row r="1003" spans="1:5" x14ac:dyDescent="0.2">
      <c r="A1003" s="105" t="s">
        <v>1518</v>
      </c>
      <c r="B1003" s="106">
        <v>380</v>
      </c>
      <c r="C1003" s="87">
        <f t="shared" si="30"/>
        <v>-2.5975486403260639E-2</v>
      </c>
      <c r="D1003" s="106">
        <v>57695.05</v>
      </c>
      <c r="E1003" s="87">
        <f t="shared" si="31"/>
        <v>1.067729515188276E-2</v>
      </c>
    </row>
    <row r="1004" spans="1:5" x14ac:dyDescent="0.2">
      <c r="A1004" s="105" t="s">
        <v>1519</v>
      </c>
      <c r="B1004" s="106">
        <v>384</v>
      </c>
      <c r="C1004" s="87">
        <f t="shared" si="30"/>
        <v>1.0471299867295336E-2</v>
      </c>
      <c r="D1004" s="106">
        <v>57789.279999999999</v>
      </c>
      <c r="E1004" s="87">
        <f t="shared" si="31"/>
        <v>1.6319100766697403E-3</v>
      </c>
    </row>
    <row r="1005" spans="1:5" x14ac:dyDescent="0.2">
      <c r="A1005" s="105" t="s">
        <v>1520</v>
      </c>
      <c r="B1005" s="106">
        <v>390</v>
      </c>
      <c r="C1005" s="87">
        <f t="shared" si="30"/>
        <v>1.5504186535965303E-2</v>
      </c>
      <c r="D1005" s="106">
        <v>57595.05</v>
      </c>
      <c r="E1005" s="87">
        <f t="shared" si="31"/>
        <v>-3.3666648401418087E-3</v>
      </c>
    </row>
    <row r="1006" spans="1:5" x14ac:dyDescent="0.2">
      <c r="A1006" s="105" t="s">
        <v>1521</v>
      </c>
      <c r="B1006" s="106">
        <v>382</v>
      </c>
      <c r="C1006" s="87">
        <f t="shared" si="30"/>
        <v>-2.0726130517116914E-2</v>
      </c>
      <c r="D1006" s="106">
        <v>58405.96</v>
      </c>
      <c r="E1006" s="87">
        <f t="shared" si="31"/>
        <v>1.3981312912457966E-2</v>
      </c>
    </row>
    <row r="1007" spans="1:5" x14ac:dyDescent="0.2">
      <c r="A1007" s="105" t="s">
        <v>1522</v>
      </c>
      <c r="B1007" s="106">
        <v>386</v>
      </c>
      <c r="C1007" s="87">
        <f t="shared" si="30"/>
        <v>1.0416760858255714E-2</v>
      </c>
      <c r="D1007" s="106">
        <v>57924.26</v>
      </c>
      <c r="E1007" s="87">
        <f t="shared" si="31"/>
        <v>-8.2816443248958649E-3</v>
      </c>
    </row>
    <row r="1008" spans="1:5" x14ac:dyDescent="0.2">
      <c r="A1008" s="105" t="s">
        <v>1523</v>
      </c>
      <c r="B1008" s="106">
        <v>390</v>
      </c>
      <c r="C1008" s="87">
        <f t="shared" si="30"/>
        <v>1.03093696588612E-2</v>
      </c>
      <c r="D1008" s="106">
        <v>59088.73</v>
      </c>
      <c r="E1008" s="87">
        <f t="shared" si="31"/>
        <v>1.9903917391694392E-2</v>
      </c>
    </row>
    <row r="1009" spans="1:5" x14ac:dyDescent="0.2">
      <c r="A1009" s="105" t="s">
        <v>1524</v>
      </c>
      <c r="B1009" s="106">
        <v>390</v>
      </c>
      <c r="C1009" s="87">
        <f t="shared" si="30"/>
        <v>0</v>
      </c>
      <c r="D1009" s="106">
        <v>59528.38</v>
      </c>
      <c r="E1009" s="87">
        <f t="shared" si="31"/>
        <v>7.4129611369198045E-3</v>
      </c>
    </row>
    <row r="1010" spans="1:5" x14ac:dyDescent="0.2">
      <c r="A1010" s="105" t="s">
        <v>1525</v>
      </c>
      <c r="B1010" s="106">
        <v>390</v>
      </c>
      <c r="C1010" s="87">
        <f t="shared" si="30"/>
        <v>0</v>
      </c>
      <c r="D1010" s="106">
        <v>59443.12</v>
      </c>
      <c r="E1010" s="87">
        <f t="shared" si="31"/>
        <v>-1.433284687440306E-3</v>
      </c>
    </row>
    <row r="1011" spans="1:5" x14ac:dyDescent="0.2">
      <c r="A1011" s="105" t="s">
        <v>1526</v>
      </c>
      <c r="B1011" s="106">
        <v>380</v>
      </c>
      <c r="C1011" s="87">
        <f t="shared" si="30"/>
        <v>-2.5975486403260639E-2</v>
      </c>
      <c r="D1011" s="106">
        <v>59028.6</v>
      </c>
      <c r="E1011" s="87">
        <f t="shared" si="31"/>
        <v>-6.9978167205846376E-3</v>
      </c>
    </row>
    <row r="1012" spans="1:5" x14ac:dyDescent="0.2">
      <c r="A1012" s="105" t="s">
        <v>1527</v>
      </c>
      <c r="B1012" s="106">
        <v>380</v>
      </c>
      <c r="C1012" s="87">
        <f t="shared" si="30"/>
        <v>0</v>
      </c>
      <c r="D1012" s="106">
        <v>59291.68</v>
      </c>
      <c r="E1012" s="87">
        <f t="shared" si="31"/>
        <v>4.4469204017421049E-3</v>
      </c>
    </row>
    <row r="1013" spans="1:5" x14ac:dyDescent="0.2">
      <c r="A1013" s="105" t="s">
        <v>1528</v>
      </c>
      <c r="B1013" s="106">
        <v>380</v>
      </c>
      <c r="C1013" s="87">
        <f t="shared" si="30"/>
        <v>0</v>
      </c>
      <c r="D1013" s="106">
        <v>58971.22</v>
      </c>
      <c r="E1013" s="87">
        <f t="shared" si="31"/>
        <v>-5.4194643348211002E-3</v>
      </c>
    </row>
    <row r="1014" spans="1:5" x14ac:dyDescent="0.2">
      <c r="A1014" s="105" t="s">
        <v>1529</v>
      </c>
      <c r="B1014" s="106">
        <v>380</v>
      </c>
      <c r="C1014" s="87">
        <f t="shared" si="30"/>
        <v>0</v>
      </c>
      <c r="D1014" s="106">
        <v>58332.29</v>
      </c>
      <c r="E1014" s="87">
        <f t="shared" si="31"/>
        <v>-1.0893728902912514E-2</v>
      </c>
    </row>
    <row r="1015" spans="1:5" x14ac:dyDescent="0.2">
      <c r="A1015" s="105" t="s">
        <v>1530</v>
      </c>
      <c r="B1015" s="106">
        <v>380</v>
      </c>
      <c r="C1015" s="87">
        <f t="shared" si="30"/>
        <v>0</v>
      </c>
      <c r="D1015" s="106">
        <v>57643.55</v>
      </c>
      <c r="E1015" s="87">
        <f t="shared" si="31"/>
        <v>-1.1877440972197562E-2</v>
      </c>
    </row>
    <row r="1016" spans="1:5" x14ac:dyDescent="0.2">
      <c r="A1016" s="105" t="s">
        <v>1531</v>
      </c>
      <c r="B1016" s="106">
        <v>380</v>
      </c>
      <c r="C1016" s="87">
        <f t="shared" si="30"/>
        <v>0</v>
      </c>
      <c r="D1016" s="106">
        <v>57869.71</v>
      </c>
      <c r="E1016" s="87">
        <f t="shared" si="31"/>
        <v>3.9157459321490506E-3</v>
      </c>
    </row>
    <row r="1017" spans="1:5" x14ac:dyDescent="0.2">
      <c r="A1017" s="105" t="s">
        <v>1532</v>
      </c>
      <c r="B1017" s="106">
        <v>382</v>
      </c>
      <c r="C1017" s="87">
        <f t="shared" si="30"/>
        <v>5.2493558861437251E-3</v>
      </c>
      <c r="D1017" s="106">
        <v>57897</v>
      </c>
      <c r="E1017" s="87">
        <f t="shared" si="31"/>
        <v>4.7146542396347968E-4</v>
      </c>
    </row>
    <row r="1018" spans="1:5" x14ac:dyDescent="0.2">
      <c r="A1018" s="105" t="s">
        <v>1533</v>
      </c>
      <c r="B1018" s="106">
        <v>378</v>
      </c>
      <c r="C1018" s="87">
        <f t="shared" si="30"/>
        <v>-1.052641298698731E-2</v>
      </c>
      <c r="D1018" s="106">
        <v>58299.06</v>
      </c>
      <c r="E1018" s="87">
        <f t="shared" si="31"/>
        <v>6.9203999622367007E-3</v>
      </c>
    </row>
    <row r="1019" spans="1:5" x14ac:dyDescent="0.2">
      <c r="A1019" s="105" t="s">
        <v>428</v>
      </c>
      <c r="B1019" s="106">
        <v>380</v>
      </c>
      <c r="C1019" s="87">
        <f t="shared" si="30"/>
        <v>5.2770571008435851E-3</v>
      </c>
      <c r="D1019" s="106">
        <v>58012.31</v>
      </c>
      <c r="E1019" s="87">
        <f t="shared" si="31"/>
        <v>-4.9307403216047874E-3</v>
      </c>
    </row>
    <row r="1020" spans="1:5" x14ac:dyDescent="0.2">
      <c r="A1020" s="105" t="s">
        <v>1534</v>
      </c>
      <c r="B1020" s="106">
        <v>360</v>
      </c>
      <c r="C1020" s="87">
        <f t="shared" si="30"/>
        <v>-5.4067221270275745E-2</v>
      </c>
      <c r="D1020" s="106">
        <v>56970.3</v>
      </c>
      <c r="E1020" s="87">
        <f t="shared" si="31"/>
        <v>-1.8125149997837653E-2</v>
      </c>
    </row>
    <row r="1021" spans="1:5" x14ac:dyDescent="0.2">
      <c r="A1021" s="105" t="s">
        <v>1535</v>
      </c>
      <c r="B1021" s="106">
        <v>376</v>
      </c>
      <c r="C1021" s="87">
        <f t="shared" si="30"/>
        <v>4.3485111939738808E-2</v>
      </c>
      <c r="D1021" s="106">
        <v>57706.400000000001</v>
      </c>
      <c r="E1021" s="87">
        <f t="shared" si="31"/>
        <v>1.2838006499364951E-2</v>
      </c>
    </row>
    <row r="1022" spans="1:5" x14ac:dyDescent="0.2">
      <c r="A1022" s="105" t="s">
        <v>1536</v>
      </c>
      <c r="B1022" s="106">
        <v>382</v>
      </c>
      <c r="C1022" s="87">
        <f t="shared" si="30"/>
        <v>1.5831465216680662E-2</v>
      </c>
      <c r="D1022" s="106">
        <v>57596.33</v>
      </c>
      <c r="E1022" s="87">
        <f t="shared" si="31"/>
        <v>-1.9092355130787553E-3</v>
      </c>
    </row>
    <row r="1023" spans="1:5" x14ac:dyDescent="0.2">
      <c r="A1023" s="105" t="s">
        <v>1537</v>
      </c>
      <c r="B1023" s="106">
        <v>388</v>
      </c>
      <c r="C1023" s="87">
        <f t="shared" si="30"/>
        <v>1.5584731016698328E-2</v>
      </c>
      <c r="D1023" s="106">
        <v>57029.17</v>
      </c>
      <c r="E1023" s="87">
        <f t="shared" si="31"/>
        <v>-9.8959590752656368E-3</v>
      </c>
    </row>
    <row r="1024" spans="1:5" x14ac:dyDescent="0.2">
      <c r="A1024" s="105" t="s">
        <v>1538</v>
      </c>
      <c r="B1024" s="106">
        <v>394</v>
      </c>
      <c r="C1024" s="87">
        <f t="shared" si="30"/>
        <v>1.5345569674660275E-2</v>
      </c>
      <c r="D1024" s="106">
        <v>58157.32</v>
      </c>
      <c r="E1024" s="87">
        <f t="shared" si="31"/>
        <v>1.9588861064743668E-2</v>
      </c>
    </row>
    <row r="1025" spans="1:5" x14ac:dyDescent="0.2">
      <c r="A1025" s="105" t="s">
        <v>1539</v>
      </c>
      <c r="B1025" s="106">
        <v>390</v>
      </c>
      <c r="C1025" s="87">
        <f t="shared" si="30"/>
        <v>-1.0204170174241689E-2</v>
      </c>
      <c r="D1025" s="106">
        <v>58712.53</v>
      </c>
      <c r="E1025" s="87">
        <f t="shared" si="31"/>
        <v>9.5014099337866753E-3</v>
      </c>
    </row>
    <row r="1026" spans="1:5" x14ac:dyDescent="0.2">
      <c r="A1026" s="105" t="s">
        <v>1540</v>
      </c>
      <c r="B1026" s="106">
        <v>394</v>
      </c>
      <c r="C1026" s="87">
        <f t="shared" si="30"/>
        <v>1.0204170174241689E-2</v>
      </c>
      <c r="D1026" s="106">
        <v>58684.46</v>
      </c>
      <c r="E1026" s="87">
        <f t="shared" si="31"/>
        <v>-4.7820647760943302E-4</v>
      </c>
    </row>
    <row r="1027" spans="1:5" x14ac:dyDescent="0.2">
      <c r="A1027" s="105" t="s">
        <v>1541</v>
      </c>
      <c r="B1027" s="106">
        <v>390</v>
      </c>
      <c r="C1027" s="87">
        <f t="shared" si="30"/>
        <v>-1.0204170174241689E-2</v>
      </c>
      <c r="D1027" s="106">
        <v>59008.47</v>
      </c>
      <c r="E1027" s="87">
        <f t="shared" si="31"/>
        <v>5.5060370842827666E-3</v>
      </c>
    </row>
    <row r="1028" spans="1:5" x14ac:dyDescent="0.2">
      <c r="A1028" s="105" t="s">
        <v>1542</v>
      </c>
      <c r="B1028" s="106">
        <v>390</v>
      </c>
      <c r="C1028" s="87">
        <f t="shared" si="30"/>
        <v>0</v>
      </c>
      <c r="D1028" s="106">
        <v>59415.71</v>
      </c>
      <c r="E1028" s="87">
        <f t="shared" si="31"/>
        <v>6.8776765908058479E-3</v>
      </c>
    </row>
    <row r="1029" spans="1:5" x14ac:dyDescent="0.2">
      <c r="A1029" s="105" t="s">
        <v>1543</v>
      </c>
      <c r="B1029" s="106">
        <v>350</v>
      </c>
      <c r="C1029" s="87">
        <f t="shared" ref="C1029:C1092" si="32">LN(B1029)-LN(B1028)</f>
        <v>-0.10821358464023323</v>
      </c>
      <c r="D1029" s="106">
        <v>58422.63</v>
      </c>
      <c r="E1029" s="87">
        <f t="shared" ref="E1029:E1092" si="33">LN(D1029)-LN(D1028)</f>
        <v>-1.6855354739460537E-2</v>
      </c>
    </row>
    <row r="1030" spans="1:5" x14ac:dyDescent="0.2">
      <c r="A1030" s="105" t="s">
        <v>1544</v>
      </c>
      <c r="B1030" s="106">
        <v>344</v>
      </c>
      <c r="C1030" s="87">
        <f t="shared" si="32"/>
        <v>-1.7291497110060838E-2</v>
      </c>
      <c r="D1030" s="106">
        <v>57428.07</v>
      </c>
      <c r="E1030" s="87">
        <f t="shared" si="33"/>
        <v>-1.7170106593139778E-2</v>
      </c>
    </row>
    <row r="1031" spans="1:5" x14ac:dyDescent="0.2">
      <c r="A1031" s="105" t="s">
        <v>1545</v>
      </c>
      <c r="B1031" s="106">
        <v>326</v>
      </c>
      <c r="C1031" s="87">
        <f t="shared" si="32"/>
        <v>-5.3744276006690406E-2</v>
      </c>
      <c r="D1031" s="106">
        <v>57790.5</v>
      </c>
      <c r="E1031" s="87">
        <f t="shared" si="33"/>
        <v>6.2911941258718684E-3</v>
      </c>
    </row>
    <row r="1032" spans="1:5" x14ac:dyDescent="0.2">
      <c r="A1032" s="105" t="s">
        <v>1546</v>
      </c>
      <c r="B1032" s="106">
        <v>310</v>
      </c>
      <c r="C1032" s="87">
        <f t="shared" si="32"/>
        <v>-5.0325083887515554E-2</v>
      </c>
      <c r="D1032" s="106">
        <v>56752.37</v>
      </c>
      <c r="E1032" s="87">
        <f t="shared" si="33"/>
        <v>-1.812698470414098E-2</v>
      </c>
    </row>
    <row r="1033" spans="1:5" x14ac:dyDescent="0.2">
      <c r="A1033" s="105" t="s">
        <v>1547</v>
      </c>
      <c r="B1033" s="106">
        <v>302</v>
      </c>
      <c r="C1033" s="87">
        <f t="shared" si="32"/>
        <v>-2.6145280104322488E-2</v>
      </c>
      <c r="D1033" s="106">
        <v>57247.73</v>
      </c>
      <c r="E1033" s="87">
        <f t="shared" si="33"/>
        <v>8.690573389181111E-3</v>
      </c>
    </row>
    <row r="1034" spans="1:5" x14ac:dyDescent="0.2">
      <c r="A1034" s="105" t="s">
        <v>1548</v>
      </c>
      <c r="B1034" s="106">
        <v>308</v>
      </c>
      <c r="C1034" s="87">
        <f t="shared" si="32"/>
        <v>1.9672765598704345E-2</v>
      </c>
      <c r="D1034" s="106">
        <v>57439.05</v>
      </c>
      <c r="E1034" s="87">
        <f t="shared" si="33"/>
        <v>3.3363946127646926E-3</v>
      </c>
    </row>
    <row r="1035" spans="1:5" x14ac:dyDescent="0.2">
      <c r="A1035" s="105" t="s">
        <v>1549</v>
      </c>
      <c r="B1035" s="106">
        <v>298</v>
      </c>
      <c r="C1035" s="87">
        <f t="shared" si="32"/>
        <v>-3.3006296468169438E-2</v>
      </c>
      <c r="D1035" s="106">
        <v>57453.85</v>
      </c>
      <c r="E1035" s="87">
        <f t="shared" si="33"/>
        <v>2.5763123886513029E-4</v>
      </c>
    </row>
    <row r="1036" spans="1:5" x14ac:dyDescent="0.2">
      <c r="A1036" s="105" t="s">
        <v>1550</v>
      </c>
      <c r="B1036" s="106">
        <v>298</v>
      </c>
      <c r="C1036" s="87">
        <f t="shared" si="32"/>
        <v>0</v>
      </c>
      <c r="D1036" s="106">
        <v>56669.86</v>
      </c>
      <c r="E1036" s="87">
        <f t="shared" si="33"/>
        <v>-1.3739517109286226E-2</v>
      </c>
    </row>
    <row r="1037" spans="1:5" x14ac:dyDescent="0.2">
      <c r="A1037" s="105" t="s">
        <v>1551</v>
      </c>
      <c r="B1037" s="106">
        <v>286</v>
      </c>
      <c r="C1037" s="87">
        <f t="shared" si="32"/>
        <v>-4.110167568555223E-2</v>
      </c>
      <c r="D1037" s="106">
        <v>56944.12</v>
      </c>
      <c r="E1037" s="87">
        <f t="shared" si="33"/>
        <v>4.8279363635757022E-3</v>
      </c>
    </row>
    <row r="1038" spans="1:5" x14ac:dyDescent="0.2">
      <c r="A1038" s="105" t="s">
        <v>1552</v>
      </c>
      <c r="B1038" s="106">
        <v>288</v>
      </c>
      <c r="C1038" s="87">
        <f t="shared" si="32"/>
        <v>6.9686693160937452E-3</v>
      </c>
      <c r="D1038" s="106">
        <v>57256.73</v>
      </c>
      <c r="E1038" s="87">
        <f t="shared" si="33"/>
        <v>5.4747540113648796E-3</v>
      </c>
    </row>
    <row r="1039" spans="1:5" x14ac:dyDescent="0.2">
      <c r="A1039" s="105" t="s">
        <v>429</v>
      </c>
      <c r="B1039" s="106">
        <v>290</v>
      </c>
      <c r="C1039" s="87">
        <f t="shared" si="32"/>
        <v>6.9204428445734933E-3</v>
      </c>
      <c r="D1039" s="106">
        <v>57465.45</v>
      </c>
      <c r="E1039" s="87">
        <f t="shared" si="33"/>
        <v>3.6387075331205665E-3</v>
      </c>
    </row>
    <row r="1040" spans="1:5" x14ac:dyDescent="0.2">
      <c r="A1040" s="105" t="s">
        <v>1553</v>
      </c>
      <c r="B1040" s="106">
        <v>290</v>
      </c>
      <c r="C1040" s="87">
        <f t="shared" si="32"/>
        <v>0</v>
      </c>
      <c r="D1040" s="106">
        <v>56978.68</v>
      </c>
      <c r="E1040" s="87">
        <f t="shared" si="33"/>
        <v>-8.5067348653637964E-3</v>
      </c>
    </row>
    <row r="1041" spans="1:5" x14ac:dyDescent="0.2">
      <c r="A1041" s="105" t="s">
        <v>1554</v>
      </c>
      <c r="B1041" s="106">
        <v>288</v>
      </c>
      <c r="C1041" s="87">
        <f t="shared" si="32"/>
        <v>-6.9204428445734933E-3</v>
      </c>
      <c r="D1041" s="106">
        <v>57797.95</v>
      </c>
      <c r="E1041" s="87">
        <f t="shared" si="33"/>
        <v>1.4276145143071517E-2</v>
      </c>
    </row>
    <row r="1042" spans="1:5" x14ac:dyDescent="0.2">
      <c r="A1042" s="105" t="s">
        <v>1555</v>
      </c>
      <c r="B1042" s="106">
        <v>290</v>
      </c>
      <c r="C1042" s="87">
        <f t="shared" si="32"/>
        <v>6.9204428445734933E-3</v>
      </c>
      <c r="D1042" s="106">
        <v>56453.85</v>
      </c>
      <c r="E1042" s="87">
        <f t="shared" si="33"/>
        <v>-2.3529817702680589E-2</v>
      </c>
    </row>
    <row r="1043" spans="1:5" x14ac:dyDescent="0.2">
      <c r="A1043" s="105" t="s">
        <v>1556</v>
      </c>
      <c r="B1043" s="106">
        <v>294</v>
      </c>
      <c r="C1043" s="87">
        <f t="shared" si="32"/>
        <v>1.3698844358161821E-2</v>
      </c>
      <c r="D1043" s="106">
        <v>57785.37</v>
      </c>
      <c r="E1043" s="87">
        <f t="shared" si="33"/>
        <v>2.331213923402764E-2</v>
      </c>
    </row>
    <row r="1044" spans="1:5" x14ac:dyDescent="0.2">
      <c r="A1044" s="105" t="s">
        <v>1557</v>
      </c>
      <c r="B1044" s="106">
        <v>294</v>
      </c>
      <c r="C1044" s="87">
        <f t="shared" si="32"/>
        <v>0</v>
      </c>
      <c r="D1044" s="106">
        <v>56999.79</v>
      </c>
      <c r="E1044" s="87">
        <f t="shared" si="33"/>
        <v>-1.3688045835440477E-2</v>
      </c>
    </row>
    <row r="1045" spans="1:5" x14ac:dyDescent="0.2">
      <c r="A1045" s="105" t="s">
        <v>1558</v>
      </c>
      <c r="B1045" s="106">
        <v>290</v>
      </c>
      <c r="C1045" s="87">
        <f t="shared" si="32"/>
        <v>-1.3698844358161821E-2</v>
      </c>
      <c r="D1045" s="106">
        <v>57304.69</v>
      </c>
      <c r="E1045" s="87">
        <f t="shared" si="33"/>
        <v>5.3348866666755868E-3</v>
      </c>
    </row>
    <row r="1046" spans="1:5" x14ac:dyDescent="0.2">
      <c r="A1046" s="105" t="s">
        <v>1559</v>
      </c>
      <c r="B1046" s="106">
        <v>294</v>
      </c>
      <c r="C1046" s="87">
        <f t="shared" si="32"/>
        <v>1.3698844358161821E-2</v>
      </c>
      <c r="D1046" s="106">
        <v>57226.74</v>
      </c>
      <c r="E1046" s="87">
        <f t="shared" si="33"/>
        <v>-1.3611986165873446E-3</v>
      </c>
    </row>
    <row r="1047" spans="1:5" x14ac:dyDescent="0.2">
      <c r="A1047" s="105" t="s">
        <v>1560</v>
      </c>
      <c r="B1047" s="106">
        <v>298</v>
      </c>
      <c r="C1047" s="87">
        <f t="shared" si="32"/>
        <v>1.351371916672317E-2</v>
      </c>
      <c r="D1047" s="106">
        <v>58114.63</v>
      </c>
      <c r="E1047" s="87">
        <f t="shared" si="33"/>
        <v>1.539616772133634E-2</v>
      </c>
    </row>
    <row r="1048" spans="1:5" x14ac:dyDescent="0.2">
      <c r="A1048" s="105" t="s">
        <v>1561</v>
      </c>
      <c r="B1048" s="106">
        <v>294</v>
      </c>
      <c r="C1048" s="87">
        <f t="shared" si="32"/>
        <v>-1.351371916672317E-2</v>
      </c>
      <c r="D1048" s="106">
        <v>58042.59</v>
      </c>
      <c r="E1048" s="87">
        <f t="shared" si="33"/>
        <v>-1.2403879713467347E-3</v>
      </c>
    </row>
    <row r="1049" spans="1:5" x14ac:dyDescent="0.2">
      <c r="A1049" s="105" t="s">
        <v>1562</v>
      </c>
      <c r="B1049" s="106">
        <v>296</v>
      </c>
      <c r="C1049" s="87">
        <f t="shared" si="32"/>
        <v>6.7796869853786745E-3</v>
      </c>
      <c r="D1049" s="106">
        <v>58873.13</v>
      </c>
      <c r="E1049" s="87">
        <f t="shared" si="33"/>
        <v>1.4207738206769349E-2</v>
      </c>
    </row>
    <row r="1050" spans="1:5" x14ac:dyDescent="0.2">
      <c r="A1050" s="105" t="s">
        <v>1563</v>
      </c>
      <c r="B1050" s="106">
        <v>286</v>
      </c>
      <c r="C1050" s="87">
        <f t="shared" si="32"/>
        <v>-3.4367643504207734E-2</v>
      </c>
      <c r="D1050" s="106">
        <v>57872.92</v>
      </c>
      <c r="E1050" s="87">
        <f t="shared" si="33"/>
        <v>-1.7135217388364765E-2</v>
      </c>
    </row>
    <row r="1051" spans="1:5" x14ac:dyDescent="0.2">
      <c r="A1051" s="105" t="s">
        <v>1564</v>
      </c>
      <c r="B1051" s="106">
        <v>272</v>
      </c>
      <c r="C1051" s="87">
        <f t="shared" si="32"/>
        <v>-5.0189744523854607E-2</v>
      </c>
      <c r="D1051" s="106">
        <v>58945.17</v>
      </c>
      <c r="E1051" s="87">
        <f t="shared" si="33"/>
        <v>1.8358117548659791E-2</v>
      </c>
    </row>
    <row r="1052" spans="1:5" x14ac:dyDescent="0.2">
      <c r="A1052" s="105" t="s">
        <v>1565</v>
      </c>
      <c r="B1052" s="106">
        <v>268</v>
      </c>
      <c r="C1052" s="87">
        <f t="shared" si="32"/>
        <v>-1.4815085785141235E-2</v>
      </c>
      <c r="D1052" s="106">
        <v>58532.83</v>
      </c>
      <c r="E1052" s="87">
        <f t="shared" si="33"/>
        <v>-7.0198963772831746E-3</v>
      </c>
    </row>
    <row r="1053" spans="1:5" x14ac:dyDescent="0.2">
      <c r="A1053" s="105" t="s">
        <v>1566</v>
      </c>
      <c r="B1053" s="106">
        <v>266</v>
      </c>
      <c r="C1053" s="87">
        <f t="shared" si="32"/>
        <v>-7.4906717291574054E-3</v>
      </c>
      <c r="D1053" s="106">
        <v>59159.31</v>
      </c>
      <c r="E1053" s="87">
        <f t="shared" si="33"/>
        <v>1.0646181081481743E-2</v>
      </c>
    </row>
    <row r="1054" spans="1:5" x14ac:dyDescent="0.2">
      <c r="A1054" s="105" t="s">
        <v>1567</v>
      </c>
      <c r="B1054" s="106">
        <v>268</v>
      </c>
      <c r="C1054" s="87">
        <f t="shared" si="32"/>
        <v>7.4906717291574054E-3</v>
      </c>
      <c r="D1054" s="106">
        <v>59772.63</v>
      </c>
      <c r="E1054" s="87">
        <f t="shared" si="33"/>
        <v>1.0313889387219888E-2</v>
      </c>
    </row>
    <row r="1055" spans="1:5" x14ac:dyDescent="0.2">
      <c r="A1055" s="105" t="s">
        <v>1568</v>
      </c>
      <c r="B1055" s="106">
        <v>246</v>
      </c>
      <c r="C1055" s="87">
        <f t="shared" si="32"/>
        <v>-8.5655444578494055E-2</v>
      </c>
      <c r="D1055" s="106">
        <v>59843.23</v>
      </c>
      <c r="E1055" s="87">
        <f t="shared" si="33"/>
        <v>1.1804456064297142E-3</v>
      </c>
    </row>
    <row r="1056" spans="1:5" x14ac:dyDescent="0.2">
      <c r="A1056" s="105" t="s">
        <v>1569</v>
      </c>
      <c r="B1056" s="106">
        <v>244</v>
      </c>
      <c r="C1056" s="87">
        <f t="shared" si="32"/>
        <v>-8.163310639160315E-3</v>
      </c>
      <c r="D1056" s="106">
        <v>59687.54</v>
      </c>
      <c r="E1056" s="87">
        <f t="shared" si="33"/>
        <v>-2.6050210844346111E-3</v>
      </c>
    </row>
    <row r="1057" spans="1:5" x14ac:dyDescent="0.2">
      <c r="A1057" s="105" t="s">
        <v>1570</v>
      </c>
      <c r="B1057" s="106">
        <v>236</v>
      </c>
      <c r="C1057" s="87">
        <f t="shared" si="32"/>
        <v>-3.3336420267591649E-2</v>
      </c>
      <c r="D1057" s="106">
        <v>58027.01</v>
      </c>
      <c r="E1057" s="87">
        <f t="shared" si="33"/>
        <v>-2.8214696595975752E-2</v>
      </c>
    </row>
    <row r="1058" spans="1:5" x14ac:dyDescent="0.2">
      <c r="A1058" s="105" t="s">
        <v>1571</v>
      </c>
      <c r="B1058" s="106">
        <v>240</v>
      </c>
      <c r="C1058" s="87">
        <f t="shared" si="32"/>
        <v>1.6807118316380709E-2</v>
      </c>
      <c r="D1058" s="106">
        <v>57954.68</v>
      </c>
      <c r="E1058" s="87">
        <f t="shared" si="33"/>
        <v>-1.2472660016733528E-3</v>
      </c>
    </row>
    <row r="1059" spans="1:5" x14ac:dyDescent="0.2">
      <c r="A1059" s="105" t="s">
        <v>1572</v>
      </c>
      <c r="B1059" s="106">
        <v>230</v>
      </c>
      <c r="C1059" s="87">
        <f t="shared" si="32"/>
        <v>-4.2559614418795633E-2</v>
      </c>
      <c r="D1059" s="106">
        <v>57025.84</v>
      </c>
      <c r="E1059" s="87">
        <f t="shared" si="33"/>
        <v>-1.6156827356772041E-2</v>
      </c>
    </row>
    <row r="1060" spans="1:5" x14ac:dyDescent="0.2">
      <c r="A1060" s="105" t="s">
        <v>1573</v>
      </c>
      <c r="B1060" s="106">
        <v>240</v>
      </c>
      <c r="C1060" s="87">
        <f t="shared" si="32"/>
        <v>4.2559614418795633E-2</v>
      </c>
      <c r="D1060" s="106">
        <v>57701.4</v>
      </c>
      <c r="E1060" s="87">
        <f t="shared" si="33"/>
        <v>1.1776938207871623E-2</v>
      </c>
    </row>
    <row r="1061" spans="1:5" x14ac:dyDescent="0.2">
      <c r="A1061" s="105" t="s">
        <v>1574</v>
      </c>
      <c r="B1061" s="106">
        <v>228</v>
      </c>
      <c r="C1061" s="87">
        <f t="shared" si="32"/>
        <v>-5.1293294387550148E-2</v>
      </c>
      <c r="D1061" s="106">
        <v>57172.46</v>
      </c>
      <c r="E1061" s="87">
        <f t="shared" si="33"/>
        <v>-9.2091227401507325E-3</v>
      </c>
    </row>
    <row r="1062" spans="1:5" x14ac:dyDescent="0.2">
      <c r="A1062" s="105" t="s">
        <v>1575</v>
      </c>
      <c r="B1062" s="106">
        <v>216</v>
      </c>
      <c r="C1062" s="87">
        <f t="shared" si="32"/>
        <v>-5.4067221270275745E-2</v>
      </c>
      <c r="D1062" s="106">
        <v>55843.46</v>
      </c>
      <c r="E1062" s="87">
        <f t="shared" si="33"/>
        <v>-2.351989462587234E-2</v>
      </c>
    </row>
    <row r="1063" spans="1:5" x14ac:dyDescent="0.2">
      <c r="A1063" s="105" t="s">
        <v>1576</v>
      </c>
      <c r="B1063" s="106">
        <v>214</v>
      </c>
      <c r="C1063" s="87">
        <f t="shared" si="32"/>
        <v>-9.3023926623141406E-3</v>
      </c>
      <c r="D1063" s="106">
        <v>55108.83</v>
      </c>
      <c r="E1063" s="87">
        <f t="shared" si="33"/>
        <v>-1.3242461882180478E-2</v>
      </c>
    </row>
    <row r="1064" spans="1:5" x14ac:dyDescent="0.2">
      <c r="A1064" s="105" t="s">
        <v>1577</v>
      </c>
      <c r="B1064" s="106">
        <v>210</v>
      </c>
      <c r="C1064" s="87">
        <f t="shared" si="32"/>
        <v>-1.8868484304382704E-2</v>
      </c>
      <c r="D1064" s="106">
        <v>54139.25</v>
      </c>
      <c r="E1064" s="87">
        <f t="shared" si="33"/>
        <v>-1.7750526286610224E-2</v>
      </c>
    </row>
    <row r="1065" spans="1:5" x14ac:dyDescent="0.2">
      <c r="A1065" s="105" t="s">
        <v>1578</v>
      </c>
      <c r="B1065" s="106">
        <v>218</v>
      </c>
      <c r="C1065" s="87">
        <f t="shared" si="32"/>
        <v>3.7387532071620377E-2</v>
      </c>
      <c r="D1065" s="106">
        <v>55607.24</v>
      </c>
      <c r="E1065" s="87">
        <f t="shared" si="33"/>
        <v>2.6753977490100667E-2</v>
      </c>
    </row>
    <row r="1066" spans="1:5" x14ac:dyDescent="0.2">
      <c r="A1066" s="105" t="s">
        <v>1579</v>
      </c>
      <c r="B1066" s="106">
        <v>220</v>
      </c>
      <c r="C1066" s="87">
        <f t="shared" si="32"/>
        <v>9.1324835632731194E-3</v>
      </c>
      <c r="D1066" s="106">
        <v>56176.07</v>
      </c>
      <c r="E1066" s="87">
        <f t="shared" si="33"/>
        <v>1.017745690250571E-2</v>
      </c>
    </row>
    <row r="1067" spans="1:5" x14ac:dyDescent="0.2">
      <c r="A1067" s="105" t="s">
        <v>1580</v>
      </c>
      <c r="B1067" s="106">
        <v>208</v>
      </c>
      <c r="C1067" s="87">
        <f t="shared" si="32"/>
        <v>-5.6089466651044084E-2</v>
      </c>
      <c r="D1067" s="106">
        <v>56507.5</v>
      </c>
      <c r="E1067" s="87">
        <f t="shared" si="33"/>
        <v>5.8825071965706854E-3</v>
      </c>
    </row>
    <row r="1068" spans="1:5" x14ac:dyDescent="0.2">
      <c r="A1068" s="105" t="s">
        <v>1581</v>
      </c>
      <c r="B1068" s="106">
        <v>202</v>
      </c>
      <c r="C1068" s="87">
        <f t="shared" si="32"/>
        <v>-2.9270382300112807E-2</v>
      </c>
      <c r="D1068" s="106">
        <v>55614.04</v>
      </c>
      <c r="E1068" s="87">
        <f t="shared" si="33"/>
        <v>-1.5937685340759344E-2</v>
      </c>
    </row>
    <row r="1069" spans="1:5" x14ac:dyDescent="0.2">
      <c r="A1069" s="105" t="s">
        <v>1582</v>
      </c>
      <c r="B1069" s="106">
        <v>206</v>
      </c>
      <c r="C1069" s="87">
        <f t="shared" si="32"/>
        <v>1.9608471388376181E-2</v>
      </c>
      <c r="D1069" s="106">
        <v>55150.21</v>
      </c>
      <c r="E1069" s="87">
        <f t="shared" si="33"/>
        <v>-8.3751338756687943E-3</v>
      </c>
    </row>
    <row r="1070" spans="1:5" x14ac:dyDescent="0.2">
      <c r="A1070" s="105" t="s">
        <v>1583</v>
      </c>
      <c r="B1070" s="106">
        <v>210</v>
      </c>
      <c r="C1070" s="87">
        <f t="shared" si="32"/>
        <v>1.9231361927887214E-2</v>
      </c>
      <c r="D1070" s="106">
        <v>55501.03</v>
      </c>
      <c r="E1070" s="87">
        <f t="shared" si="33"/>
        <v>6.3410256495597395E-3</v>
      </c>
    </row>
    <row r="1071" spans="1:5" x14ac:dyDescent="0.2">
      <c r="A1071" s="105" t="s">
        <v>1584</v>
      </c>
      <c r="B1071" s="106">
        <v>212</v>
      </c>
      <c r="C1071" s="87">
        <f t="shared" si="32"/>
        <v>9.4787439545438446E-3</v>
      </c>
      <c r="D1071" s="106">
        <v>56230.400000000001</v>
      </c>
      <c r="E1071" s="87">
        <f t="shared" si="33"/>
        <v>1.3055956780474887E-2</v>
      </c>
    </row>
    <row r="1072" spans="1:5" x14ac:dyDescent="0.2">
      <c r="A1072" s="105" t="s">
        <v>1585</v>
      </c>
      <c r="B1072" s="106">
        <v>212</v>
      </c>
      <c r="C1072" s="87">
        <f t="shared" si="32"/>
        <v>0</v>
      </c>
      <c r="D1072" s="106">
        <v>56632.69</v>
      </c>
      <c r="E1072" s="87">
        <f t="shared" si="33"/>
        <v>7.1288444027342024E-3</v>
      </c>
    </row>
    <row r="1073" spans="1:5" x14ac:dyDescent="0.2">
      <c r="A1073" s="105" t="s">
        <v>1586</v>
      </c>
      <c r="B1073" s="106">
        <v>214</v>
      </c>
      <c r="C1073" s="87">
        <f t="shared" si="32"/>
        <v>9.3897403498388599E-3</v>
      </c>
      <c r="D1073" s="106">
        <v>56011.89</v>
      </c>
      <c r="E1073" s="87">
        <f t="shared" si="33"/>
        <v>-1.1022390695231365E-2</v>
      </c>
    </row>
    <row r="1074" spans="1:5" x14ac:dyDescent="0.2">
      <c r="A1074" s="105" t="s">
        <v>1587</v>
      </c>
      <c r="B1074" s="106">
        <v>212</v>
      </c>
      <c r="C1074" s="87">
        <f t="shared" si="32"/>
        <v>-9.3897403498388599E-3</v>
      </c>
      <c r="D1074" s="106">
        <v>55567.38</v>
      </c>
      <c r="E1074" s="87">
        <f t="shared" si="33"/>
        <v>-7.967651187962943E-3</v>
      </c>
    </row>
    <row r="1075" spans="1:5" x14ac:dyDescent="0.2">
      <c r="A1075" s="105" t="s">
        <v>1588</v>
      </c>
      <c r="B1075" s="106">
        <v>212</v>
      </c>
      <c r="C1075" s="87">
        <f t="shared" si="32"/>
        <v>0</v>
      </c>
      <c r="D1075" s="106">
        <v>55304.72</v>
      </c>
      <c r="E1075" s="87">
        <f t="shared" si="33"/>
        <v>-4.7380809307302485E-3</v>
      </c>
    </row>
    <row r="1076" spans="1:5" x14ac:dyDescent="0.2">
      <c r="A1076" s="105" t="s">
        <v>1589</v>
      </c>
      <c r="B1076" s="106">
        <v>212</v>
      </c>
      <c r="C1076" s="87">
        <f t="shared" si="32"/>
        <v>0</v>
      </c>
      <c r="D1076" s="106">
        <v>53967.82</v>
      </c>
      <c r="E1076" s="87">
        <f t="shared" si="33"/>
        <v>-2.4470314504103641E-2</v>
      </c>
    </row>
    <row r="1077" spans="1:5" x14ac:dyDescent="0.2">
      <c r="A1077" s="105" t="s">
        <v>1590</v>
      </c>
      <c r="B1077" s="106">
        <v>214</v>
      </c>
      <c r="C1077" s="87">
        <f t="shared" si="32"/>
        <v>9.3897403498388599E-3</v>
      </c>
      <c r="D1077" s="106">
        <v>53983.67</v>
      </c>
      <c r="E1077" s="87">
        <f t="shared" si="33"/>
        <v>2.9365041860707208E-4</v>
      </c>
    </row>
    <row r="1078" spans="1:5" x14ac:dyDescent="0.2">
      <c r="A1078" s="105" t="s">
        <v>431</v>
      </c>
      <c r="B1078" s="106">
        <v>208</v>
      </c>
      <c r="C1078" s="87">
        <f t="shared" si="32"/>
        <v>-2.8437935320533292E-2</v>
      </c>
      <c r="D1078" s="106">
        <v>52932.37</v>
      </c>
      <c r="E1078" s="87">
        <f t="shared" si="33"/>
        <v>-1.9666532435648421E-2</v>
      </c>
    </row>
    <row r="1079" spans="1:5" x14ac:dyDescent="0.2">
      <c r="A1079" s="105" t="s">
        <v>1591</v>
      </c>
      <c r="B1079" s="106">
        <v>264</v>
      </c>
      <c r="C1079" s="87">
        <f t="shared" si="32"/>
        <v>0.23841102344499809</v>
      </c>
      <c r="D1079" s="106">
        <v>52639.45</v>
      </c>
      <c r="E1079" s="87">
        <f t="shared" si="33"/>
        <v>-5.5492223526680817E-3</v>
      </c>
    </row>
    <row r="1080" spans="1:5" x14ac:dyDescent="0.2">
      <c r="A1080" s="105" t="s">
        <v>1592</v>
      </c>
      <c r="B1080" s="106">
        <v>290</v>
      </c>
      <c r="C1080" s="87">
        <f t="shared" si="32"/>
        <v>9.3931819834203623E-2</v>
      </c>
      <c r="D1080" s="106">
        <v>53302.48</v>
      </c>
      <c r="E1080" s="87">
        <f t="shared" si="33"/>
        <v>1.2517020535820933E-2</v>
      </c>
    </row>
    <row r="1081" spans="1:5" x14ac:dyDescent="0.2">
      <c r="A1081" s="105" t="s">
        <v>1593</v>
      </c>
      <c r="B1081" s="106">
        <v>290</v>
      </c>
      <c r="C1081" s="87">
        <f t="shared" si="32"/>
        <v>0</v>
      </c>
      <c r="D1081" s="106">
        <v>53187.31</v>
      </c>
      <c r="E1081" s="87">
        <f t="shared" si="33"/>
        <v>-2.1630251107396248E-3</v>
      </c>
    </row>
    <row r="1082" spans="1:5" x14ac:dyDescent="0.2">
      <c r="A1082" s="105" t="s">
        <v>1594</v>
      </c>
      <c r="B1082" s="106">
        <v>296</v>
      </c>
      <c r="C1082" s="87">
        <f t="shared" si="32"/>
        <v>2.0478531343540496E-2</v>
      </c>
      <c r="D1082" s="106">
        <v>53401.8</v>
      </c>
      <c r="E1082" s="87">
        <f t="shared" si="33"/>
        <v>4.0246192039283812E-3</v>
      </c>
    </row>
    <row r="1083" spans="1:5" x14ac:dyDescent="0.2">
      <c r="A1083" s="105" t="s">
        <v>1595</v>
      </c>
      <c r="B1083" s="106">
        <v>320</v>
      </c>
      <c r="C1083" s="87">
        <f t="shared" si="32"/>
        <v>7.7961541469711904E-2</v>
      </c>
      <c r="D1083" s="106">
        <v>53303.29</v>
      </c>
      <c r="E1083" s="87">
        <f t="shared" si="33"/>
        <v>-1.8463979175979972E-3</v>
      </c>
    </row>
    <row r="1084" spans="1:5" x14ac:dyDescent="0.2">
      <c r="A1084" s="105" t="s">
        <v>1596</v>
      </c>
      <c r="B1084" s="106">
        <v>324</v>
      </c>
      <c r="C1084" s="87">
        <f t="shared" si="32"/>
        <v>1.2422519998557036E-2</v>
      </c>
      <c r="D1084" s="106">
        <v>52734.84</v>
      </c>
      <c r="E1084" s="87">
        <f t="shared" si="33"/>
        <v>-1.072171765976293E-2</v>
      </c>
    </row>
    <row r="1085" spans="1:5" x14ac:dyDescent="0.2">
      <c r="A1085" s="105" t="s">
        <v>1597</v>
      </c>
      <c r="B1085" s="106">
        <v>324</v>
      </c>
      <c r="C1085" s="87">
        <f t="shared" si="32"/>
        <v>0</v>
      </c>
      <c r="D1085" s="106">
        <v>52353.64</v>
      </c>
      <c r="E1085" s="87">
        <f t="shared" si="33"/>
        <v>-7.2548707903710152E-3</v>
      </c>
    </row>
    <row r="1086" spans="1:5" x14ac:dyDescent="0.2">
      <c r="A1086" s="105" t="s">
        <v>1598</v>
      </c>
      <c r="B1086" s="106">
        <v>290</v>
      </c>
      <c r="C1086" s="87">
        <f t="shared" si="32"/>
        <v>-0.11086259281180944</v>
      </c>
      <c r="D1086" s="106">
        <v>51651.4</v>
      </c>
      <c r="E1086" s="87">
        <f t="shared" si="33"/>
        <v>-1.3504166179279409E-2</v>
      </c>
    </row>
    <row r="1087" spans="1:5" x14ac:dyDescent="0.2">
      <c r="A1087" s="105" t="s">
        <v>1599</v>
      </c>
      <c r="B1087" s="106">
        <v>290</v>
      </c>
      <c r="C1087" s="87">
        <f t="shared" si="32"/>
        <v>0</v>
      </c>
      <c r="D1087" s="106">
        <v>52232.17</v>
      </c>
      <c r="E1087" s="87">
        <f t="shared" si="33"/>
        <v>1.1181287872583212E-2</v>
      </c>
    </row>
    <row r="1088" spans="1:5" x14ac:dyDescent="0.2">
      <c r="A1088" s="105" t="s">
        <v>1600</v>
      </c>
      <c r="B1088" s="106">
        <v>328</v>
      </c>
      <c r="C1088" s="87">
        <f t="shared" si="32"/>
        <v>0.12313268540362454</v>
      </c>
      <c r="D1088" s="106">
        <v>51781.8</v>
      </c>
      <c r="E1088" s="87">
        <f t="shared" si="33"/>
        <v>-8.6598524130536703E-3</v>
      </c>
    </row>
    <row r="1089" spans="1:5" x14ac:dyDescent="0.2">
      <c r="A1089" s="105" t="s">
        <v>1601</v>
      </c>
      <c r="B1089" s="106">
        <v>328</v>
      </c>
      <c r="C1089" s="87">
        <f t="shared" si="32"/>
        <v>0</v>
      </c>
      <c r="D1089" s="106">
        <v>51931.11</v>
      </c>
      <c r="E1089" s="87">
        <f t="shared" si="33"/>
        <v>2.8792963798363047E-3</v>
      </c>
    </row>
    <row r="1090" spans="1:5" x14ac:dyDescent="0.2">
      <c r="A1090" s="105" t="s">
        <v>1602</v>
      </c>
      <c r="B1090" s="106">
        <v>328</v>
      </c>
      <c r="C1090" s="87">
        <f t="shared" si="32"/>
        <v>0</v>
      </c>
      <c r="D1090" s="106">
        <v>50636.31</v>
      </c>
      <c r="E1090" s="87">
        <f t="shared" si="33"/>
        <v>-2.5249124673182521E-2</v>
      </c>
    </row>
    <row r="1091" spans="1:5" x14ac:dyDescent="0.2">
      <c r="A1091" s="105" t="s">
        <v>1603</v>
      </c>
      <c r="B1091" s="106">
        <v>330</v>
      </c>
      <c r="C1091" s="87">
        <f t="shared" si="32"/>
        <v>6.0790460763815446E-3</v>
      </c>
      <c r="D1091" s="106">
        <v>51229.23</v>
      </c>
      <c r="E1091" s="87">
        <f t="shared" si="33"/>
        <v>1.1641359700053755E-2</v>
      </c>
    </row>
    <row r="1092" spans="1:5" x14ac:dyDescent="0.2">
      <c r="A1092" s="105" t="s">
        <v>1604</v>
      </c>
      <c r="B1092" s="106">
        <v>336</v>
      </c>
      <c r="C1092" s="87">
        <f t="shared" si="32"/>
        <v>1.8018505502678472E-2</v>
      </c>
      <c r="D1092" s="106">
        <v>51280.02</v>
      </c>
      <c r="E1092" s="87">
        <f t="shared" si="33"/>
        <v>9.9093504549330191E-4</v>
      </c>
    </row>
    <row r="1093" spans="1:5" x14ac:dyDescent="0.2">
      <c r="A1093" s="105" t="s">
        <v>1605</v>
      </c>
      <c r="B1093" s="106">
        <v>330</v>
      </c>
      <c r="C1093" s="87">
        <f t="shared" ref="C1093:C1156" si="34">LN(B1093)-LN(B1092)</f>
        <v>-1.8018505502678472E-2</v>
      </c>
      <c r="D1093" s="106">
        <v>50827.48</v>
      </c>
      <c r="E1093" s="87">
        <f t="shared" ref="E1093:E1156" si="35">LN(D1093)-LN(D1092)</f>
        <v>-8.8640494195519892E-3</v>
      </c>
    </row>
    <row r="1094" spans="1:5" x14ac:dyDescent="0.2">
      <c r="A1094" s="105" t="s">
        <v>1606</v>
      </c>
      <c r="B1094" s="106">
        <v>322</v>
      </c>
      <c r="C1094" s="87">
        <f t="shared" si="34"/>
        <v>-2.454110891611716E-2</v>
      </c>
      <c r="D1094" s="106">
        <v>48962.48</v>
      </c>
      <c r="E1094" s="87">
        <f t="shared" si="35"/>
        <v>-3.738286269239488E-2</v>
      </c>
    </row>
    <row r="1095" spans="1:5" x14ac:dyDescent="0.2">
      <c r="A1095" s="105" t="s">
        <v>1607</v>
      </c>
      <c r="B1095" s="106">
        <v>326</v>
      </c>
      <c r="C1095" s="87">
        <f t="shared" si="34"/>
        <v>1.23458358222992E-2</v>
      </c>
      <c r="D1095" s="106">
        <v>48295.31</v>
      </c>
      <c r="E1095" s="87">
        <f t="shared" si="35"/>
        <v>-1.3719836021390819E-2</v>
      </c>
    </row>
    <row r="1096" spans="1:5" x14ac:dyDescent="0.2">
      <c r="A1096" s="105" t="s">
        <v>1608</v>
      </c>
      <c r="B1096" s="106">
        <v>350</v>
      </c>
      <c r="C1096" s="87">
        <f t="shared" si="34"/>
        <v>7.1035773116751244E-2</v>
      </c>
      <c r="D1096" s="106">
        <v>47294.2</v>
      </c>
      <c r="E1096" s="87">
        <f t="shared" si="35"/>
        <v>-2.0946788079834633E-2</v>
      </c>
    </row>
    <row r="1097" spans="1:5" x14ac:dyDescent="0.2">
      <c r="A1097" s="105" t="s">
        <v>1609</v>
      </c>
      <c r="B1097" s="106">
        <v>380</v>
      </c>
      <c r="C1097" s="87">
        <f t="shared" si="34"/>
        <v>8.223809823697259E-2</v>
      </c>
      <c r="D1097" s="106">
        <v>47160.46</v>
      </c>
      <c r="E1097" s="87">
        <f t="shared" si="35"/>
        <v>-2.8318367643294096E-3</v>
      </c>
    </row>
    <row r="1098" spans="1:5" x14ac:dyDescent="0.2">
      <c r="A1098" s="105" t="s">
        <v>1610</v>
      </c>
      <c r="B1098" s="106">
        <v>352</v>
      </c>
      <c r="C1098" s="87">
        <f t="shared" si="34"/>
        <v>-7.6540077122334793E-2</v>
      </c>
      <c r="D1098" s="106">
        <v>45177.16</v>
      </c>
      <c r="E1098" s="87">
        <f t="shared" si="35"/>
        <v>-4.296418025875326E-2</v>
      </c>
    </row>
    <row r="1099" spans="1:5" x14ac:dyDescent="0.2">
      <c r="A1099" s="105" t="s">
        <v>1611</v>
      </c>
      <c r="B1099" s="106">
        <v>348</v>
      </c>
      <c r="C1099" s="87">
        <f t="shared" si="34"/>
        <v>-1.142869582362227E-2</v>
      </c>
      <c r="D1099" s="106">
        <v>44097.98</v>
      </c>
      <c r="E1099" s="87">
        <f t="shared" si="35"/>
        <v>-2.4177672976625431E-2</v>
      </c>
    </row>
    <row r="1100" spans="1:5" x14ac:dyDescent="0.2">
      <c r="A1100" s="105" t="s">
        <v>1612</v>
      </c>
      <c r="B1100" s="106">
        <v>368</v>
      </c>
      <c r="C1100" s="87">
        <f t="shared" si="34"/>
        <v>5.5880458394456767E-2</v>
      </c>
      <c r="D1100" s="106">
        <v>44840.6</v>
      </c>
      <c r="E1100" s="87">
        <f t="shared" si="35"/>
        <v>1.6700002609278286E-2</v>
      </c>
    </row>
    <row r="1101" spans="1:5" x14ac:dyDescent="0.2">
      <c r="A1101" s="105" t="s">
        <v>1613</v>
      </c>
      <c r="B1101" s="106">
        <v>344</v>
      </c>
      <c r="C1101" s="87">
        <f t="shared" si="34"/>
        <v>-6.7441280795533132E-2</v>
      </c>
      <c r="D1101" s="106">
        <v>45008.3</v>
      </c>
      <c r="E1101" s="87">
        <f t="shared" si="35"/>
        <v>3.7329381826420871E-3</v>
      </c>
    </row>
    <row r="1102" spans="1:5" x14ac:dyDescent="0.2">
      <c r="A1102" s="105" t="s">
        <v>1614</v>
      </c>
      <c r="B1102" s="106">
        <v>312</v>
      </c>
      <c r="C1102" s="87">
        <f t="shared" si="34"/>
        <v>-9.7638469563915642E-2</v>
      </c>
      <c r="D1102" s="106">
        <v>47198.400000000001</v>
      </c>
      <c r="E1102" s="87">
        <f t="shared" si="35"/>
        <v>4.7513076504886342E-2</v>
      </c>
    </row>
    <row r="1103" spans="1:5" x14ac:dyDescent="0.2">
      <c r="A1103" s="105" t="s">
        <v>1615</v>
      </c>
      <c r="B1103" s="106">
        <v>300</v>
      </c>
      <c r="C1103" s="87">
        <f t="shared" si="34"/>
        <v>-3.9220713153281572E-2</v>
      </c>
      <c r="D1103" s="106">
        <v>47418.61</v>
      </c>
      <c r="E1103" s="87">
        <f t="shared" si="35"/>
        <v>4.6547739694133838E-3</v>
      </c>
    </row>
    <row r="1104" spans="1:5" x14ac:dyDescent="0.2">
      <c r="A1104" s="105" t="s">
        <v>1616</v>
      </c>
      <c r="B1104" s="106">
        <v>296</v>
      </c>
      <c r="C1104" s="87">
        <f t="shared" si="34"/>
        <v>-1.3423020332140823E-2</v>
      </c>
      <c r="D1104" s="106">
        <v>47846.25</v>
      </c>
      <c r="E1104" s="87">
        <f t="shared" si="35"/>
        <v>8.9779772406473057E-3</v>
      </c>
    </row>
    <row r="1105" spans="1:5" x14ac:dyDescent="0.2">
      <c r="A1105" s="105" t="s">
        <v>1617</v>
      </c>
      <c r="B1105" s="106">
        <v>296</v>
      </c>
      <c r="C1105" s="87">
        <f t="shared" si="34"/>
        <v>0</v>
      </c>
      <c r="D1105" s="106">
        <v>47910.38</v>
      </c>
      <c r="E1105" s="87">
        <f t="shared" si="35"/>
        <v>1.3394374799506892E-3</v>
      </c>
    </row>
    <row r="1106" spans="1:5" x14ac:dyDescent="0.2">
      <c r="A1106" s="105" t="s">
        <v>1618</v>
      </c>
      <c r="B1106" s="106">
        <v>300</v>
      </c>
      <c r="C1106" s="87">
        <f t="shared" si="34"/>
        <v>1.3423020332140823E-2</v>
      </c>
      <c r="D1106" s="106">
        <v>47912.13</v>
      </c>
      <c r="E1106" s="87">
        <f t="shared" si="35"/>
        <v>3.6525864334890912E-5</v>
      </c>
    </row>
    <row r="1107" spans="1:5" x14ac:dyDescent="0.2">
      <c r="A1107" s="105" t="s">
        <v>1619</v>
      </c>
      <c r="B1107" s="106">
        <v>298</v>
      </c>
      <c r="C1107" s="87">
        <f t="shared" si="34"/>
        <v>-6.6889881507963267E-3</v>
      </c>
      <c r="D1107" s="106">
        <v>48418.97</v>
      </c>
      <c r="E1107" s="87">
        <f t="shared" si="35"/>
        <v>1.052297081587561E-2</v>
      </c>
    </row>
    <row r="1108" spans="1:5" x14ac:dyDescent="0.2">
      <c r="A1108" s="105" t="s">
        <v>1620</v>
      </c>
      <c r="B1108" s="106">
        <v>280</v>
      </c>
      <c r="C1108" s="87">
        <f t="shared" si="34"/>
        <v>-6.230388333615533E-2</v>
      </c>
      <c r="D1108" s="106">
        <v>48128.15</v>
      </c>
      <c r="E1108" s="87">
        <f t="shared" si="35"/>
        <v>-6.0244340707402699E-3</v>
      </c>
    </row>
    <row r="1109" spans="1:5" x14ac:dyDescent="0.2">
      <c r="A1109" s="105" t="s">
        <v>1621</v>
      </c>
      <c r="B1109" s="106">
        <v>280</v>
      </c>
      <c r="C1109" s="87">
        <f t="shared" si="34"/>
        <v>0</v>
      </c>
      <c r="D1109" s="106">
        <v>48210.12</v>
      </c>
      <c r="E1109" s="87">
        <f t="shared" si="35"/>
        <v>1.7017125132294808E-3</v>
      </c>
    </row>
    <row r="1110" spans="1:5" x14ac:dyDescent="0.2">
      <c r="A1110" s="105" t="s">
        <v>1622</v>
      </c>
      <c r="B1110" s="106">
        <v>290</v>
      </c>
      <c r="C1110" s="87">
        <f t="shared" si="34"/>
        <v>3.5091319811270338E-2</v>
      </c>
      <c r="D1110" s="106">
        <v>47482</v>
      </c>
      <c r="E1110" s="87">
        <f t="shared" si="35"/>
        <v>-1.5218265671100184E-2</v>
      </c>
    </row>
    <row r="1111" spans="1:5" x14ac:dyDescent="0.2">
      <c r="A1111" s="105" t="s">
        <v>1623</v>
      </c>
      <c r="B1111" s="106">
        <v>292</v>
      </c>
      <c r="C1111" s="87">
        <f t="shared" si="34"/>
        <v>6.8728792877621459E-3</v>
      </c>
      <c r="D1111" s="106">
        <v>48596.45</v>
      </c>
      <c r="E1111" s="87">
        <f t="shared" si="35"/>
        <v>2.3199791117546553E-2</v>
      </c>
    </row>
    <row r="1112" spans="1:5" x14ac:dyDescent="0.2">
      <c r="A1112" s="105" t="s">
        <v>1624</v>
      </c>
      <c r="B1112" s="106">
        <v>286</v>
      </c>
      <c r="C1112" s="87">
        <f t="shared" si="34"/>
        <v>-2.0761991448429384E-2</v>
      </c>
      <c r="D1112" s="106">
        <v>48464.15</v>
      </c>
      <c r="E1112" s="87">
        <f t="shared" si="35"/>
        <v>-2.7261336100465883E-3</v>
      </c>
    </row>
    <row r="1113" spans="1:5" x14ac:dyDescent="0.2">
      <c r="A1113" s="105" t="s">
        <v>1625</v>
      </c>
      <c r="B1113" s="106">
        <v>262</v>
      </c>
      <c r="C1113" s="87">
        <f t="shared" si="34"/>
        <v>-8.7647307058755786E-2</v>
      </c>
      <c r="D1113" s="106">
        <v>48938.01</v>
      </c>
      <c r="E1113" s="87">
        <f t="shared" si="35"/>
        <v>9.730045791680908E-3</v>
      </c>
    </row>
    <row r="1114" spans="1:5" x14ac:dyDescent="0.2">
      <c r="A1114" s="105" t="s">
        <v>1626</v>
      </c>
      <c r="B1114" s="106">
        <v>268</v>
      </c>
      <c r="C1114" s="87">
        <f t="shared" si="34"/>
        <v>2.2642476749759943E-2</v>
      </c>
      <c r="D1114" s="106">
        <v>49191.09</v>
      </c>
      <c r="E1114" s="87">
        <f t="shared" si="35"/>
        <v>5.158114384485657E-3</v>
      </c>
    </row>
    <row r="1115" spans="1:5" x14ac:dyDescent="0.2">
      <c r="A1115" s="105" t="s">
        <v>1627</v>
      </c>
      <c r="B1115" s="106">
        <v>284</v>
      </c>
      <c r="C1115" s="87">
        <f t="shared" si="34"/>
        <v>5.7987257650349733E-2</v>
      </c>
      <c r="D1115" s="106">
        <v>49727.34</v>
      </c>
      <c r="E1115" s="87">
        <f t="shared" si="35"/>
        <v>1.0842372919190879E-2</v>
      </c>
    </row>
    <row r="1116" spans="1:5" x14ac:dyDescent="0.2">
      <c r="A1116" s="105" t="s">
        <v>1628</v>
      </c>
      <c r="B1116" s="106">
        <v>276</v>
      </c>
      <c r="C1116" s="87">
        <f t="shared" si="34"/>
        <v>-2.8573372444056666E-2</v>
      </c>
      <c r="D1116" s="106">
        <v>50207.28</v>
      </c>
      <c r="E1116" s="87">
        <f t="shared" si="35"/>
        <v>9.6051536472963051E-3</v>
      </c>
    </row>
    <row r="1117" spans="1:5" x14ac:dyDescent="0.2">
      <c r="A1117" s="105" t="s">
        <v>1629</v>
      </c>
      <c r="B1117" s="106">
        <v>266</v>
      </c>
      <c r="C1117" s="87">
        <f t="shared" si="34"/>
        <v>-3.6904556935450472E-2</v>
      </c>
      <c r="D1117" s="106">
        <v>50113.97</v>
      </c>
      <c r="E1117" s="87">
        <f t="shared" si="35"/>
        <v>-1.860224566733848E-3</v>
      </c>
    </row>
    <row r="1118" spans="1:5" x14ac:dyDescent="0.2">
      <c r="A1118" s="105" t="s">
        <v>1630</v>
      </c>
      <c r="B1118" s="106">
        <v>252</v>
      </c>
      <c r="C1118" s="87">
        <f t="shared" si="34"/>
        <v>-5.4067221270275745E-2</v>
      </c>
      <c r="D1118" s="106">
        <v>50014.64</v>
      </c>
      <c r="E1118" s="87">
        <f t="shared" si="35"/>
        <v>-1.9840489663049965E-3</v>
      </c>
    </row>
    <row r="1119" spans="1:5" x14ac:dyDescent="0.2">
      <c r="A1119" s="105" t="s">
        <v>1631</v>
      </c>
      <c r="B1119" s="106">
        <v>256</v>
      </c>
      <c r="C1119" s="87">
        <f t="shared" si="34"/>
        <v>1.5748356968138921E-2</v>
      </c>
      <c r="D1119" s="106">
        <v>49043.26</v>
      </c>
      <c r="E1119" s="87">
        <f t="shared" si="35"/>
        <v>-1.9612996806248617E-2</v>
      </c>
    </row>
    <row r="1120" spans="1:5" x14ac:dyDescent="0.2">
      <c r="A1120" s="105" t="s">
        <v>433</v>
      </c>
      <c r="B1120" s="106">
        <v>246</v>
      </c>
      <c r="C1120" s="87">
        <f t="shared" si="34"/>
        <v>-3.9845908547199826E-2</v>
      </c>
      <c r="D1120" s="106">
        <v>49035.41</v>
      </c>
      <c r="E1120" s="87">
        <f t="shared" si="35"/>
        <v>-1.6007558048691806E-4</v>
      </c>
    </row>
    <row r="1121" spans="1:5" x14ac:dyDescent="0.2">
      <c r="A1121" s="105" t="s">
        <v>1632</v>
      </c>
      <c r="B1121" s="106">
        <v>246</v>
      </c>
      <c r="C1121" s="87">
        <f t="shared" si="34"/>
        <v>0</v>
      </c>
      <c r="D1121" s="106">
        <v>49841.68</v>
      </c>
      <c r="E1121" s="87">
        <f t="shared" si="35"/>
        <v>1.6308891592412778E-2</v>
      </c>
    </row>
    <row r="1122" spans="1:5" x14ac:dyDescent="0.2">
      <c r="A1122" s="105" t="s">
        <v>1633</v>
      </c>
      <c r="B1122" s="106">
        <v>244</v>
      </c>
      <c r="C1122" s="87">
        <f t="shared" si="34"/>
        <v>-8.163310639160315E-3</v>
      </c>
      <c r="D1122" s="106">
        <v>48294.74</v>
      </c>
      <c r="E1122" s="87">
        <f t="shared" si="35"/>
        <v>-3.1528929739581102E-2</v>
      </c>
    </row>
    <row r="1123" spans="1:5" x14ac:dyDescent="0.2">
      <c r="A1123" s="105" t="s">
        <v>1634</v>
      </c>
      <c r="B1123" s="106">
        <v>240</v>
      </c>
      <c r="C1123" s="87">
        <f t="shared" si="34"/>
        <v>-1.652930195121094E-2</v>
      </c>
      <c r="D1123" s="106">
        <v>48009.43</v>
      </c>
      <c r="E1123" s="87">
        <f t="shared" si="35"/>
        <v>-5.9252020908733272E-3</v>
      </c>
    </row>
    <row r="1124" spans="1:5" x14ac:dyDescent="0.2">
      <c r="A1124" s="105" t="s">
        <v>1635</v>
      </c>
      <c r="B1124" s="106">
        <v>244</v>
      </c>
      <c r="C1124" s="87">
        <f t="shared" si="34"/>
        <v>1.652930195121094E-2</v>
      </c>
      <c r="D1124" s="106">
        <v>48482.58</v>
      </c>
      <c r="E1124" s="87">
        <f t="shared" si="35"/>
        <v>9.8071082210093863E-3</v>
      </c>
    </row>
    <row r="1125" spans="1:5" x14ac:dyDescent="0.2">
      <c r="A1125" s="105" t="s">
        <v>1636</v>
      </c>
      <c r="B1125" s="106">
        <v>240</v>
      </c>
      <c r="C1125" s="87">
        <f t="shared" si="34"/>
        <v>-1.652930195121094E-2</v>
      </c>
      <c r="D1125" s="106">
        <v>48741.38</v>
      </c>
      <c r="E1125" s="87">
        <f t="shared" si="35"/>
        <v>5.3238031296221067E-3</v>
      </c>
    </row>
    <row r="1126" spans="1:5" x14ac:dyDescent="0.2">
      <c r="A1126" s="105" t="s">
        <v>1637</v>
      </c>
      <c r="B1126" s="106">
        <v>246</v>
      </c>
      <c r="C1126" s="87">
        <f t="shared" si="34"/>
        <v>2.4692612590371255E-2</v>
      </c>
      <c r="D1126" s="106">
        <v>48447.72</v>
      </c>
      <c r="E1126" s="87">
        <f t="shared" si="35"/>
        <v>-6.0430828904998179E-3</v>
      </c>
    </row>
    <row r="1127" spans="1:5" x14ac:dyDescent="0.2">
      <c r="A1127" s="105" t="s">
        <v>1638</v>
      </c>
      <c r="B1127" s="106">
        <v>252</v>
      </c>
      <c r="C1127" s="87">
        <f t="shared" si="34"/>
        <v>2.4097551579060905E-2</v>
      </c>
      <c r="D1127" s="106">
        <v>49825.58</v>
      </c>
      <c r="E1127" s="87">
        <f t="shared" si="35"/>
        <v>2.8043228367758744E-2</v>
      </c>
    </row>
    <row r="1128" spans="1:5" x14ac:dyDescent="0.2">
      <c r="A1128" s="105" t="s">
        <v>1639</v>
      </c>
      <c r="B1128" s="106">
        <v>250</v>
      </c>
      <c r="C1128" s="87">
        <f t="shared" si="34"/>
        <v>-7.9681696491773479E-3</v>
      </c>
      <c r="D1128" s="106">
        <v>50035.54</v>
      </c>
      <c r="E1128" s="87">
        <f t="shared" si="35"/>
        <v>4.2050461557661123E-3</v>
      </c>
    </row>
    <row r="1129" spans="1:5" x14ac:dyDescent="0.2">
      <c r="A1129" s="105" t="s">
        <v>1640</v>
      </c>
      <c r="B1129" s="106">
        <v>250</v>
      </c>
      <c r="C1129" s="87">
        <f t="shared" si="34"/>
        <v>0</v>
      </c>
      <c r="D1129" s="106">
        <v>49882.7</v>
      </c>
      <c r="E1129" s="87">
        <f t="shared" si="35"/>
        <v>-3.0593036708168597E-3</v>
      </c>
    </row>
    <row r="1130" spans="1:5" x14ac:dyDescent="0.2">
      <c r="A1130" s="105" t="s">
        <v>1641</v>
      </c>
      <c r="B1130" s="106">
        <v>250</v>
      </c>
      <c r="C1130" s="87">
        <f t="shared" si="34"/>
        <v>0</v>
      </c>
      <c r="D1130" s="106">
        <v>50037.97</v>
      </c>
      <c r="E1130" s="87">
        <f t="shared" si="35"/>
        <v>3.1078679712095436E-3</v>
      </c>
    </row>
    <row r="1131" spans="1:5" x14ac:dyDescent="0.2">
      <c r="A1131" s="105" t="s">
        <v>1642</v>
      </c>
      <c r="B1131" s="106">
        <v>248</v>
      </c>
      <c r="C1131" s="87">
        <f t="shared" si="34"/>
        <v>-8.0321716972635571E-3</v>
      </c>
      <c r="D1131" s="106">
        <v>50454.28</v>
      </c>
      <c r="E1131" s="87">
        <f t="shared" si="35"/>
        <v>8.2854624430996893E-3</v>
      </c>
    </row>
    <row r="1132" spans="1:5" x14ac:dyDescent="0.2">
      <c r="A1132" s="105" t="s">
        <v>1643</v>
      </c>
      <c r="B1132" s="106">
        <v>250</v>
      </c>
      <c r="C1132" s="87">
        <f t="shared" si="34"/>
        <v>8.0321716972635571E-3</v>
      </c>
      <c r="D1132" s="106">
        <v>50561.3</v>
      </c>
      <c r="E1132" s="87">
        <f t="shared" si="35"/>
        <v>2.118881860408095E-3</v>
      </c>
    </row>
    <row r="1133" spans="1:5" x14ac:dyDescent="0.2">
      <c r="A1133" s="105" t="s">
        <v>1644</v>
      </c>
      <c r="B1133" s="106">
        <v>242</v>
      </c>
      <c r="C1133" s="87">
        <f t="shared" si="34"/>
        <v>-3.2523191705559285E-2</v>
      </c>
      <c r="D1133" s="106">
        <v>50757.07</v>
      </c>
      <c r="E1133" s="87">
        <f t="shared" si="35"/>
        <v>3.8644570305681469E-3</v>
      </c>
    </row>
    <row r="1134" spans="1:5" x14ac:dyDescent="0.2">
      <c r="A1134" s="105" t="s">
        <v>1645</v>
      </c>
      <c r="B1134" s="106">
        <v>248</v>
      </c>
      <c r="C1134" s="87">
        <f t="shared" si="34"/>
        <v>2.4491020008295727E-2</v>
      </c>
      <c r="D1134" s="106">
        <v>49556.34</v>
      </c>
      <c r="E1134" s="87">
        <f t="shared" si="35"/>
        <v>-2.3940714408968944E-2</v>
      </c>
    </row>
    <row r="1135" spans="1:5" x14ac:dyDescent="0.2">
      <c r="A1135" s="105" t="s">
        <v>1646</v>
      </c>
      <c r="B1135" s="106">
        <v>250</v>
      </c>
      <c r="C1135" s="87">
        <f t="shared" si="34"/>
        <v>8.0321716972635571E-3</v>
      </c>
      <c r="D1135" s="106">
        <v>50815.26</v>
      </c>
      <c r="E1135" s="87">
        <f t="shared" si="35"/>
        <v>2.5086499021099939E-2</v>
      </c>
    </row>
    <row r="1136" spans="1:5" x14ac:dyDescent="0.2">
      <c r="A1136" s="105" t="s">
        <v>1647</v>
      </c>
      <c r="B1136" s="106">
        <v>248</v>
      </c>
      <c r="C1136" s="87">
        <f t="shared" si="34"/>
        <v>-8.0321716972635571E-3</v>
      </c>
      <c r="D1136" s="106">
        <v>50522.18</v>
      </c>
      <c r="E1136" s="87">
        <f t="shared" si="35"/>
        <v>-5.784255397530913E-3</v>
      </c>
    </row>
    <row r="1137" spans="1:5" x14ac:dyDescent="0.2">
      <c r="A1137" s="105" t="s">
        <v>1648</v>
      </c>
      <c r="B1137" s="106">
        <v>238</v>
      </c>
      <c r="C1137" s="87">
        <f t="shared" si="34"/>
        <v>-4.1158072493507447E-2</v>
      </c>
      <c r="D1137" s="106">
        <v>50915.67</v>
      </c>
      <c r="E1137" s="87">
        <f t="shared" si="35"/>
        <v>7.758286945389159E-3</v>
      </c>
    </row>
    <row r="1138" spans="1:5" x14ac:dyDescent="0.2">
      <c r="A1138" s="105" t="s">
        <v>1649</v>
      </c>
      <c r="B1138" s="106">
        <v>240</v>
      </c>
      <c r="C1138" s="87">
        <f t="shared" si="34"/>
        <v>8.3682496705161924E-3</v>
      </c>
      <c r="D1138" s="106">
        <v>51356.24</v>
      </c>
      <c r="E1138" s="87">
        <f t="shared" si="35"/>
        <v>8.6157132551463178E-3</v>
      </c>
    </row>
    <row r="1139" spans="1:5" x14ac:dyDescent="0.2">
      <c r="A1139" s="105" t="s">
        <v>434</v>
      </c>
      <c r="B1139" s="106">
        <v>236</v>
      </c>
      <c r="C1139" s="87">
        <f t="shared" si="34"/>
        <v>-1.6807118316380709E-2</v>
      </c>
      <c r="D1139" s="106">
        <v>50937.27</v>
      </c>
      <c r="E1139" s="87">
        <f t="shared" si="35"/>
        <v>-8.1915723256109629E-3</v>
      </c>
    </row>
    <row r="1140" spans="1:5" x14ac:dyDescent="0.2">
      <c r="A1140" s="105" t="s">
        <v>1650</v>
      </c>
      <c r="B1140" s="106">
        <v>234</v>
      </c>
      <c r="C1140" s="87">
        <f t="shared" si="34"/>
        <v>-8.5106896679087995E-3</v>
      </c>
      <c r="D1140" s="106">
        <v>51629.45</v>
      </c>
      <c r="E1140" s="87">
        <f t="shared" si="35"/>
        <v>1.349737046006716E-2</v>
      </c>
    </row>
    <row r="1141" spans="1:5" x14ac:dyDescent="0.2">
      <c r="A1141" s="105" t="s">
        <v>1651</v>
      </c>
      <c r="B1141" s="106">
        <v>222</v>
      </c>
      <c r="C1141" s="87">
        <f t="shared" si="34"/>
        <v>-5.2643733485422395E-2</v>
      </c>
      <c r="D1141" s="106">
        <v>52237.26</v>
      </c>
      <c r="E1141" s="87">
        <f t="shared" si="35"/>
        <v>1.1703787249373931E-2</v>
      </c>
    </row>
    <row r="1142" spans="1:5" x14ac:dyDescent="0.2">
      <c r="A1142" s="105" t="s">
        <v>1652</v>
      </c>
      <c r="B1142" s="106">
        <v>228</v>
      </c>
      <c r="C1142" s="87">
        <f t="shared" si="34"/>
        <v>2.6668247082161756E-2</v>
      </c>
      <c r="D1142" s="106">
        <v>52518.38</v>
      </c>
      <c r="E1142" s="87">
        <f t="shared" si="35"/>
        <v>5.3671702037298985E-3</v>
      </c>
    </row>
    <row r="1143" spans="1:5" x14ac:dyDescent="0.2">
      <c r="A1143" s="105" t="s">
        <v>1653</v>
      </c>
      <c r="B1143" s="106">
        <v>226</v>
      </c>
      <c r="C1143" s="87">
        <f t="shared" si="34"/>
        <v>-8.8106296821548469E-3</v>
      </c>
      <c r="D1143" s="106">
        <v>51963.74</v>
      </c>
      <c r="E1143" s="87">
        <f t="shared" si="35"/>
        <v>-1.0617035909602279E-2</v>
      </c>
    </row>
    <row r="1144" spans="1:5" x14ac:dyDescent="0.2">
      <c r="A1144" s="105" t="s">
        <v>1654</v>
      </c>
      <c r="B1144" s="106">
        <v>230</v>
      </c>
      <c r="C1144" s="87">
        <f t="shared" si="34"/>
        <v>1.7544309650909362E-2</v>
      </c>
      <c r="D1144" s="106">
        <v>52424.18</v>
      </c>
      <c r="E1144" s="87">
        <f t="shared" si="35"/>
        <v>8.8217676161583825E-3</v>
      </c>
    </row>
    <row r="1145" spans="1:5" x14ac:dyDescent="0.2">
      <c r="A1145" s="105" t="s">
        <v>1655</v>
      </c>
      <c r="B1145" s="106">
        <v>228</v>
      </c>
      <c r="C1145" s="87">
        <f t="shared" si="34"/>
        <v>-8.7336799687545152E-3</v>
      </c>
      <c r="D1145" s="106">
        <v>51920.09</v>
      </c>
      <c r="E1145" s="87">
        <f t="shared" si="35"/>
        <v>-9.6621294428036464E-3</v>
      </c>
    </row>
    <row r="1146" spans="1:5" x14ac:dyDescent="0.2">
      <c r="A1146" s="105" t="s">
        <v>1656</v>
      </c>
      <c r="B1146" s="106">
        <v>226</v>
      </c>
      <c r="C1146" s="87">
        <f t="shared" si="34"/>
        <v>-8.8106296821548469E-3</v>
      </c>
      <c r="D1146" s="106">
        <v>51842.65</v>
      </c>
      <c r="E1146" s="87">
        <f t="shared" si="35"/>
        <v>-1.4926362657305958E-3</v>
      </c>
    </row>
    <row r="1147" spans="1:5" x14ac:dyDescent="0.2">
      <c r="A1147" s="105" t="s">
        <v>1657</v>
      </c>
      <c r="B1147" s="106">
        <v>228</v>
      </c>
      <c r="C1147" s="87">
        <f t="shared" si="34"/>
        <v>8.8106296821548469E-3</v>
      </c>
      <c r="D1147" s="106">
        <v>52262.21</v>
      </c>
      <c r="E1147" s="87">
        <f t="shared" si="35"/>
        <v>8.0603781908887839E-3</v>
      </c>
    </row>
    <row r="1148" spans="1:5" x14ac:dyDescent="0.2">
      <c r="A1148" s="105" t="s">
        <v>1658</v>
      </c>
      <c r="B1148" s="106">
        <v>230</v>
      </c>
      <c r="C1148" s="87">
        <f t="shared" si="34"/>
        <v>8.7336799687545152E-3</v>
      </c>
      <c r="D1148" s="106">
        <v>52490.77</v>
      </c>
      <c r="E1148" s="87">
        <f t="shared" si="35"/>
        <v>4.3637968619183454E-3</v>
      </c>
    </row>
    <row r="1149" spans="1:5" x14ac:dyDescent="0.2">
      <c r="A1149" s="105" t="s">
        <v>1659</v>
      </c>
      <c r="B1149" s="106">
        <v>234</v>
      </c>
      <c r="C1149" s="87">
        <f t="shared" si="34"/>
        <v>1.7241806434506124E-2</v>
      </c>
      <c r="D1149" s="106">
        <v>52889</v>
      </c>
      <c r="E1149" s="87">
        <f t="shared" si="35"/>
        <v>7.5580331158668912E-3</v>
      </c>
    </row>
    <row r="1150" spans="1:5" x14ac:dyDescent="0.2">
      <c r="A1150" s="105" t="s">
        <v>1660</v>
      </c>
      <c r="B1150" s="106">
        <v>246</v>
      </c>
      <c r="C1150" s="87">
        <f t="shared" si="34"/>
        <v>5.0010420574660763E-2</v>
      </c>
      <c r="D1150" s="106">
        <v>52631.64</v>
      </c>
      <c r="E1150" s="87">
        <f t="shared" si="35"/>
        <v>-4.8779179183071619E-3</v>
      </c>
    </row>
    <row r="1151" spans="1:5" x14ac:dyDescent="0.2">
      <c r="A1151" s="105" t="s">
        <v>1661</v>
      </c>
      <c r="B1151" s="106">
        <v>236</v>
      </c>
      <c r="C1151" s="87">
        <f t="shared" si="34"/>
        <v>-4.1499730906751964E-2</v>
      </c>
      <c r="D1151" s="106">
        <v>52706.25</v>
      </c>
      <c r="E1151" s="87">
        <f t="shared" si="35"/>
        <v>1.4165845257920751E-3</v>
      </c>
    </row>
    <row r="1152" spans="1:5" x14ac:dyDescent="0.2">
      <c r="A1152" s="105" t="s">
        <v>1662</v>
      </c>
      <c r="B1152" s="106">
        <v>250</v>
      </c>
      <c r="C1152" s="87">
        <f t="shared" si="34"/>
        <v>5.7629112836635521E-2</v>
      </c>
      <c r="D1152" s="106">
        <v>52487.839999999997</v>
      </c>
      <c r="E1152" s="87">
        <f t="shared" si="35"/>
        <v>-4.1525206186907582E-3</v>
      </c>
    </row>
    <row r="1153" spans="1:5" x14ac:dyDescent="0.2">
      <c r="A1153" s="105" t="s">
        <v>1663</v>
      </c>
      <c r="B1153" s="106">
        <v>234</v>
      </c>
      <c r="C1153" s="87">
        <f t="shared" si="34"/>
        <v>-6.6139802504544321E-2</v>
      </c>
      <c r="D1153" s="106">
        <v>52420.67</v>
      </c>
      <c r="E1153" s="87">
        <f t="shared" si="35"/>
        <v>-1.2805445273933458E-3</v>
      </c>
    </row>
    <row r="1154" spans="1:5" x14ac:dyDescent="0.2">
      <c r="A1154" s="105" t="s">
        <v>1664</v>
      </c>
      <c r="B1154" s="106">
        <v>234</v>
      </c>
      <c r="C1154" s="87">
        <f t="shared" si="34"/>
        <v>0</v>
      </c>
      <c r="D1154" s="106">
        <v>51934.45</v>
      </c>
      <c r="E1154" s="87">
        <f t="shared" si="35"/>
        <v>-9.3186327318104389E-3</v>
      </c>
    </row>
    <row r="1155" spans="1:5" x14ac:dyDescent="0.2">
      <c r="A1155" s="105" t="s">
        <v>1665</v>
      </c>
      <c r="B1155" s="106">
        <v>236</v>
      </c>
      <c r="C1155" s="87">
        <f t="shared" si="34"/>
        <v>8.5106896679087995E-3</v>
      </c>
      <c r="D1155" s="106">
        <v>51732.44</v>
      </c>
      <c r="E1155" s="87">
        <f t="shared" si="35"/>
        <v>-3.8972955722442748E-3</v>
      </c>
    </row>
    <row r="1156" spans="1:5" x14ac:dyDescent="0.2">
      <c r="A1156" s="105" t="s">
        <v>1666</v>
      </c>
      <c r="B1156" s="106">
        <v>238</v>
      </c>
      <c r="C1156" s="87">
        <f t="shared" si="34"/>
        <v>8.4388686458645168E-3</v>
      </c>
      <c r="D1156" s="106">
        <v>51816.87</v>
      </c>
      <c r="E1156" s="87">
        <f t="shared" si="35"/>
        <v>1.6307210296258035E-3</v>
      </c>
    </row>
    <row r="1157" spans="1:5" x14ac:dyDescent="0.2">
      <c r="A1157" s="105" t="s">
        <v>1667</v>
      </c>
      <c r="B1157" s="106">
        <v>246</v>
      </c>
      <c r="C1157" s="87">
        <f t="shared" ref="C1157:C1220" si="36">LN(B1157)-LN(B1156)</f>
        <v>3.3060862260887447E-2</v>
      </c>
      <c r="D1157" s="106">
        <v>52289.67</v>
      </c>
      <c r="E1157" s="87">
        <f t="shared" ref="E1157:E1220" si="37">LN(D1157)-LN(D1156)</f>
        <v>9.0830653017039964E-3</v>
      </c>
    </row>
    <row r="1158" spans="1:5" x14ac:dyDescent="0.2">
      <c r="A1158" s="105" t="s">
        <v>1668</v>
      </c>
      <c r="B1158" s="106">
        <v>240</v>
      </c>
      <c r="C1158" s="87">
        <f t="shared" si="36"/>
        <v>-2.4692612590371255E-2</v>
      </c>
      <c r="D1158" s="106">
        <v>51690.75</v>
      </c>
      <c r="E1158" s="87">
        <f t="shared" si="37"/>
        <v>-1.1519988543000181E-2</v>
      </c>
    </row>
    <row r="1159" spans="1:5" x14ac:dyDescent="0.2">
      <c r="A1159" s="105" t="s">
        <v>1669</v>
      </c>
      <c r="B1159" s="106">
        <v>240</v>
      </c>
      <c r="C1159" s="87">
        <f t="shared" si="36"/>
        <v>0</v>
      </c>
      <c r="D1159" s="106">
        <v>51534.26</v>
      </c>
      <c r="E1159" s="87">
        <f t="shared" si="37"/>
        <v>-3.0320194667208256E-3</v>
      </c>
    </row>
    <row r="1160" spans="1:5" x14ac:dyDescent="0.2">
      <c r="A1160" s="105" t="s">
        <v>1670</v>
      </c>
      <c r="B1160" s="106">
        <v>252</v>
      </c>
      <c r="C1160" s="87">
        <f t="shared" si="36"/>
        <v>4.879016416943216E-2</v>
      </c>
      <c r="D1160" s="106">
        <v>50468.160000000003</v>
      </c>
      <c r="E1160" s="87">
        <f t="shared" si="37"/>
        <v>-2.0904186826065541E-2</v>
      </c>
    </row>
    <row r="1161" spans="1:5" x14ac:dyDescent="0.2">
      <c r="A1161" s="105" t="s">
        <v>1671</v>
      </c>
      <c r="B1161" s="106">
        <v>238</v>
      </c>
      <c r="C1161" s="87">
        <f t="shared" si="36"/>
        <v>-5.7158413839948352E-2</v>
      </c>
      <c r="D1161" s="106">
        <v>50024.63</v>
      </c>
      <c r="E1161" s="87">
        <f t="shared" si="37"/>
        <v>-8.8271582456247444E-3</v>
      </c>
    </row>
    <row r="1162" spans="1:5" x14ac:dyDescent="0.2">
      <c r="A1162" s="105" t="s">
        <v>1672</v>
      </c>
      <c r="B1162" s="106">
        <v>246</v>
      </c>
      <c r="C1162" s="87">
        <f t="shared" si="36"/>
        <v>3.3060862260887447E-2</v>
      </c>
      <c r="D1162" s="106">
        <v>52045.58</v>
      </c>
      <c r="E1162" s="87">
        <f t="shared" si="37"/>
        <v>3.9604388966873572E-2</v>
      </c>
    </row>
    <row r="1163" spans="1:5" x14ac:dyDescent="0.2">
      <c r="A1163" s="105" t="s">
        <v>1673</v>
      </c>
      <c r="B1163" s="106">
        <v>244</v>
      </c>
      <c r="C1163" s="87">
        <f t="shared" si="36"/>
        <v>-8.163310639160315E-3</v>
      </c>
      <c r="D1163" s="106">
        <v>52159.95</v>
      </c>
      <c r="E1163" s="87">
        <f t="shared" si="37"/>
        <v>2.1950859215120744E-3</v>
      </c>
    </row>
    <row r="1164" spans="1:5" x14ac:dyDescent="0.2">
      <c r="A1164" s="105" t="s">
        <v>1674</v>
      </c>
      <c r="B1164" s="106">
        <v>248</v>
      </c>
      <c r="C1164" s="87">
        <f t="shared" si="36"/>
        <v>1.6260520871780315E-2</v>
      </c>
      <c r="D1164" s="106">
        <v>52215.51</v>
      </c>
      <c r="E1164" s="87">
        <f t="shared" si="37"/>
        <v>1.0646181630757923E-3</v>
      </c>
    </row>
    <row r="1165" spans="1:5" x14ac:dyDescent="0.2">
      <c r="A1165" s="105" t="s">
        <v>1675</v>
      </c>
      <c r="B1165" s="106">
        <v>254</v>
      </c>
      <c r="C1165" s="87">
        <f t="shared" si="36"/>
        <v>2.390552085355413E-2</v>
      </c>
      <c r="D1165" s="106">
        <v>51672.44</v>
      </c>
      <c r="E1165" s="87">
        <f t="shared" si="37"/>
        <v>-1.0455013248099831E-2</v>
      </c>
    </row>
    <row r="1166" spans="1:5" x14ac:dyDescent="0.2">
      <c r="A1166" s="105" t="s">
        <v>1676</v>
      </c>
      <c r="B1166" s="106">
        <v>260</v>
      </c>
      <c r="C1166" s="87">
        <f t="shared" si="36"/>
        <v>2.3347363996991E-2</v>
      </c>
      <c r="D1166" s="106">
        <v>51890.42</v>
      </c>
      <c r="E1166" s="87">
        <f t="shared" si="37"/>
        <v>4.2096234480304418E-3</v>
      </c>
    </row>
    <row r="1167" spans="1:5" x14ac:dyDescent="0.2">
      <c r="A1167" s="105" t="s">
        <v>1677</v>
      </c>
      <c r="B1167" s="106">
        <v>258</v>
      </c>
      <c r="C1167" s="87">
        <f t="shared" si="36"/>
        <v>-7.7220460939102509E-3</v>
      </c>
      <c r="D1167" s="106">
        <v>52145.96</v>
      </c>
      <c r="E1167" s="87">
        <f t="shared" si="37"/>
        <v>4.9125222140435909E-3</v>
      </c>
    </row>
    <row r="1168" spans="1:5" x14ac:dyDescent="0.2">
      <c r="A1168" s="105" t="s">
        <v>1678</v>
      </c>
      <c r="B1168" s="106">
        <v>250</v>
      </c>
      <c r="C1168" s="87">
        <f t="shared" si="36"/>
        <v>-3.1498667059371321E-2</v>
      </c>
      <c r="D1168" s="106">
        <v>52537.11</v>
      </c>
      <c r="E1168" s="87">
        <f t="shared" si="37"/>
        <v>7.4730674285579113E-3</v>
      </c>
    </row>
    <row r="1169" spans="1:5" x14ac:dyDescent="0.2">
      <c r="A1169" s="105" t="s">
        <v>1679</v>
      </c>
      <c r="B1169" s="106">
        <v>248</v>
      </c>
      <c r="C1169" s="87">
        <f t="shared" si="36"/>
        <v>-8.0321716972635571E-3</v>
      </c>
      <c r="D1169" s="106">
        <v>52170.68</v>
      </c>
      <c r="E1169" s="87">
        <f t="shared" si="37"/>
        <v>-6.9991257743264867E-3</v>
      </c>
    </row>
    <row r="1170" spans="1:5" x14ac:dyDescent="0.2">
      <c r="A1170" s="105" t="s">
        <v>1680</v>
      </c>
      <c r="B1170" s="106">
        <v>240</v>
      </c>
      <c r="C1170" s="87">
        <f t="shared" si="36"/>
        <v>-3.2789822822991255E-2</v>
      </c>
      <c r="D1170" s="106">
        <v>51046.47</v>
      </c>
      <c r="E1170" s="87">
        <f t="shared" si="37"/>
        <v>-2.1784256934633817E-2</v>
      </c>
    </row>
    <row r="1171" spans="1:5" x14ac:dyDescent="0.2">
      <c r="A1171" s="105" t="s">
        <v>1681</v>
      </c>
      <c r="B1171" s="106">
        <v>218</v>
      </c>
      <c r="C1171" s="87">
        <f t="shared" si="36"/>
        <v>-9.614386055290236E-2</v>
      </c>
      <c r="D1171" s="106">
        <v>51121.23</v>
      </c>
      <c r="E1171" s="87">
        <f t="shared" si="37"/>
        <v>1.4634764870535832E-3</v>
      </c>
    </row>
    <row r="1172" spans="1:5" x14ac:dyDescent="0.2">
      <c r="A1172" s="105" t="s">
        <v>1682</v>
      </c>
      <c r="B1172" s="106">
        <v>222</v>
      </c>
      <c r="C1172" s="87">
        <f t="shared" si="36"/>
        <v>1.8182319083190457E-2</v>
      </c>
      <c r="D1172" s="106">
        <v>51008.62</v>
      </c>
      <c r="E1172" s="87">
        <f t="shared" si="37"/>
        <v>-2.2052327627175572E-3</v>
      </c>
    </row>
    <row r="1173" spans="1:5" x14ac:dyDescent="0.2">
      <c r="A1173" s="105" t="s">
        <v>1683</v>
      </c>
      <c r="B1173" s="106">
        <v>220</v>
      </c>
      <c r="C1173" s="87">
        <f t="shared" si="36"/>
        <v>-9.0498355199173375E-3</v>
      </c>
      <c r="D1173" s="106">
        <v>50443.27</v>
      </c>
      <c r="E1173" s="87">
        <f t="shared" si="37"/>
        <v>-1.1145299554190302E-2</v>
      </c>
    </row>
    <row r="1174" spans="1:5" x14ac:dyDescent="0.2">
      <c r="A1174" s="105" t="s">
        <v>1684</v>
      </c>
      <c r="B1174" s="106">
        <v>220</v>
      </c>
      <c r="C1174" s="87">
        <f t="shared" si="36"/>
        <v>0</v>
      </c>
      <c r="D1174" s="106">
        <v>51168.14</v>
      </c>
      <c r="E1174" s="87">
        <f t="shared" si="37"/>
        <v>1.4267734237080276E-2</v>
      </c>
    </row>
    <row r="1175" spans="1:5" x14ac:dyDescent="0.2">
      <c r="A1175" s="105" t="s">
        <v>1685</v>
      </c>
      <c r="B1175" s="106">
        <v>220</v>
      </c>
      <c r="C1175" s="87">
        <f t="shared" si="36"/>
        <v>0</v>
      </c>
      <c r="D1175" s="106">
        <v>50933.53</v>
      </c>
      <c r="E1175" s="87">
        <f t="shared" si="37"/>
        <v>-4.5956234194530765E-3</v>
      </c>
    </row>
    <row r="1176" spans="1:5" x14ac:dyDescent="0.2">
      <c r="A1176" s="105" t="s">
        <v>1686</v>
      </c>
      <c r="B1176" s="106">
        <v>216</v>
      </c>
      <c r="C1176" s="87">
        <f t="shared" si="36"/>
        <v>-1.8349138668196652E-2</v>
      </c>
      <c r="D1176" s="106">
        <v>50844.47</v>
      </c>
      <c r="E1176" s="87">
        <f t="shared" si="37"/>
        <v>-1.7500839617810016E-3</v>
      </c>
    </row>
    <row r="1177" spans="1:5" x14ac:dyDescent="0.2">
      <c r="A1177" s="105" t="s">
        <v>1687</v>
      </c>
      <c r="B1177" s="106">
        <v>216</v>
      </c>
      <c r="C1177" s="87">
        <f t="shared" si="36"/>
        <v>0</v>
      </c>
      <c r="D1177" s="106">
        <v>50726.22</v>
      </c>
      <c r="E1177" s="87">
        <f t="shared" si="37"/>
        <v>-2.3284286721914071E-3</v>
      </c>
    </row>
    <row r="1178" spans="1:5" x14ac:dyDescent="0.2">
      <c r="A1178" s="105" t="s">
        <v>1688</v>
      </c>
      <c r="B1178" s="106">
        <v>216</v>
      </c>
      <c r="C1178" s="87">
        <f t="shared" si="36"/>
        <v>0</v>
      </c>
      <c r="D1178" s="106">
        <v>50973.66</v>
      </c>
      <c r="E1178" s="87">
        <f t="shared" si="37"/>
        <v>4.8660920397889385E-3</v>
      </c>
    </row>
    <row r="1179" spans="1:5" x14ac:dyDescent="0.2">
      <c r="A1179" s="105" t="s">
        <v>1689</v>
      </c>
      <c r="B1179" s="106">
        <v>220</v>
      </c>
      <c r="C1179" s="87">
        <f t="shared" si="36"/>
        <v>1.8349138668196652E-2</v>
      </c>
      <c r="D1179" s="106">
        <v>51480.18</v>
      </c>
      <c r="E1179" s="87">
        <f t="shared" si="37"/>
        <v>9.8878505060913113E-3</v>
      </c>
    </row>
    <row r="1180" spans="1:5" x14ac:dyDescent="0.2">
      <c r="A1180" s="105" t="s">
        <v>1690</v>
      </c>
      <c r="B1180" s="106">
        <v>218</v>
      </c>
      <c r="C1180" s="87">
        <f t="shared" si="36"/>
        <v>-9.1324835632731194E-3</v>
      </c>
      <c r="D1180" s="106">
        <v>50959.44</v>
      </c>
      <c r="E1180" s="87">
        <f t="shared" si="37"/>
        <v>-1.0166857032769983E-2</v>
      </c>
    </row>
    <row r="1181" spans="1:5" x14ac:dyDescent="0.2">
      <c r="A1181" s="105" t="s">
        <v>1691</v>
      </c>
      <c r="B1181" s="106">
        <v>224</v>
      </c>
      <c r="C1181" s="87">
        <f t="shared" si="36"/>
        <v>2.7150989065950704E-2</v>
      </c>
      <c r="D1181" s="106">
        <v>50937.18</v>
      </c>
      <c r="E1181" s="87">
        <f t="shared" si="37"/>
        <v>-4.3691341977947218E-4</v>
      </c>
    </row>
    <row r="1182" spans="1:5" x14ac:dyDescent="0.2">
      <c r="A1182" s="105" t="s">
        <v>436</v>
      </c>
      <c r="B1182" s="106">
        <v>222</v>
      </c>
      <c r="C1182" s="87">
        <f t="shared" si="36"/>
        <v>-8.9686699827602467E-3</v>
      </c>
      <c r="D1182" s="106">
        <v>50104.2</v>
      </c>
      <c r="E1182" s="87">
        <f t="shared" si="37"/>
        <v>-1.6488271860344739E-2</v>
      </c>
    </row>
    <row r="1183" spans="1:5" x14ac:dyDescent="0.2">
      <c r="A1183" s="105" t="s">
        <v>1692</v>
      </c>
      <c r="B1183" s="106">
        <v>222</v>
      </c>
      <c r="C1183" s="87">
        <f t="shared" si="36"/>
        <v>0</v>
      </c>
      <c r="D1183" s="106">
        <v>49569.17</v>
      </c>
      <c r="E1183" s="87">
        <f t="shared" si="37"/>
        <v>-1.0735769018500818E-2</v>
      </c>
    </row>
    <row r="1184" spans="1:5" x14ac:dyDescent="0.2">
      <c r="A1184" s="105" t="s">
        <v>1693</v>
      </c>
      <c r="B1184" s="106">
        <v>222</v>
      </c>
      <c r="C1184" s="87">
        <f t="shared" si="36"/>
        <v>0</v>
      </c>
      <c r="D1184" s="106">
        <v>49972.05</v>
      </c>
      <c r="E1184" s="87">
        <f t="shared" si="37"/>
        <v>8.094781235481463E-3</v>
      </c>
    </row>
    <row r="1185" spans="1:5" x14ac:dyDescent="0.2">
      <c r="A1185" s="105" t="s">
        <v>1694</v>
      </c>
      <c r="B1185" s="106">
        <v>210</v>
      </c>
      <c r="C1185" s="87">
        <f t="shared" si="36"/>
        <v>-5.5569851154810834E-2</v>
      </c>
      <c r="D1185" s="106">
        <v>49725.89</v>
      </c>
      <c r="E1185" s="87">
        <f t="shared" si="37"/>
        <v>-4.9381261081062888E-3</v>
      </c>
    </row>
    <row r="1186" spans="1:5" x14ac:dyDescent="0.2">
      <c r="A1186" s="105" t="s">
        <v>1695</v>
      </c>
      <c r="B1186" s="106">
        <v>214</v>
      </c>
      <c r="C1186" s="87">
        <f t="shared" si="36"/>
        <v>1.8868484304382704E-2</v>
      </c>
      <c r="D1186" s="106">
        <v>50658.89</v>
      </c>
      <c r="E1186" s="87">
        <f t="shared" si="37"/>
        <v>1.8589010534460826E-2</v>
      </c>
    </row>
    <row r="1187" spans="1:5" x14ac:dyDescent="0.2">
      <c r="A1187" s="105" t="s">
        <v>1696</v>
      </c>
      <c r="B1187" s="106">
        <v>214</v>
      </c>
      <c r="C1187" s="87">
        <f t="shared" si="36"/>
        <v>0</v>
      </c>
      <c r="D1187" s="106">
        <v>50479.64</v>
      </c>
      <c r="E1187" s="87">
        <f t="shared" si="37"/>
        <v>-3.5446468854640756E-3</v>
      </c>
    </row>
    <row r="1188" spans="1:5" x14ac:dyDescent="0.2">
      <c r="A1188" s="105" t="s">
        <v>1697</v>
      </c>
      <c r="B1188" s="106">
        <v>218</v>
      </c>
      <c r="C1188" s="87">
        <f t="shared" si="36"/>
        <v>1.8519047767237673E-2</v>
      </c>
      <c r="D1188" s="106">
        <v>51438.3</v>
      </c>
      <c r="E1188" s="87">
        <f t="shared" si="37"/>
        <v>1.8812944501465978E-2</v>
      </c>
    </row>
    <row r="1189" spans="1:5" x14ac:dyDescent="0.2">
      <c r="A1189" s="105" t="s">
        <v>1698</v>
      </c>
      <c r="B1189" s="106">
        <v>222</v>
      </c>
      <c r="C1189" s="87">
        <f t="shared" si="36"/>
        <v>1.8182319083190457E-2</v>
      </c>
      <c r="D1189" s="106">
        <v>50606.02</v>
      </c>
      <c r="E1189" s="87">
        <f t="shared" si="37"/>
        <v>-1.6312489622963611E-2</v>
      </c>
    </row>
    <row r="1190" spans="1:5" x14ac:dyDescent="0.2">
      <c r="A1190" s="105" t="s">
        <v>1699</v>
      </c>
      <c r="B1190" s="106">
        <v>236</v>
      </c>
      <c r="C1190" s="87">
        <f t="shared" si="36"/>
        <v>6.1154423153331194E-2</v>
      </c>
      <c r="D1190" s="106">
        <v>50670.080000000002</v>
      </c>
      <c r="E1190" s="87">
        <f t="shared" si="37"/>
        <v>1.2650567812801938E-3</v>
      </c>
    </row>
    <row r="1191" spans="1:5" x14ac:dyDescent="0.2">
      <c r="A1191" s="105" t="s">
        <v>1700</v>
      </c>
      <c r="B1191" s="106">
        <v>236</v>
      </c>
      <c r="C1191" s="87">
        <f t="shared" si="36"/>
        <v>0</v>
      </c>
      <c r="D1191" s="106">
        <v>50445.13</v>
      </c>
      <c r="E1191" s="87">
        <f t="shared" si="37"/>
        <v>-4.4493874089166496E-3</v>
      </c>
    </row>
    <row r="1192" spans="1:5" x14ac:dyDescent="0.2">
      <c r="A1192" s="105" t="s">
        <v>1701</v>
      </c>
      <c r="B1192" s="106">
        <v>236</v>
      </c>
      <c r="C1192" s="87">
        <f t="shared" si="36"/>
        <v>0</v>
      </c>
      <c r="D1192" s="106">
        <v>50312.800000000003</v>
      </c>
      <c r="E1192" s="87">
        <f t="shared" si="37"/>
        <v>-2.6266930272278444E-3</v>
      </c>
    </row>
    <row r="1193" spans="1:5" x14ac:dyDescent="0.2">
      <c r="A1193" s="105" t="s">
        <v>1702</v>
      </c>
      <c r="B1193" s="106">
        <v>236</v>
      </c>
      <c r="C1193" s="87">
        <f t="shared" si="36"/>
        <v>0</v>
      </c>
      <c r="D1193" s="106">
        <v>50385.49</v>
      </c>
      <c r="E1193" s="87">
        <f t="shared" si="37"/>
        <v>1.443718907754743E-3</v>
      </c>
    </row>
    <row r="1194" spans="1:5" x14ac:dyDescent="0.2">
      <c r="A1194" s="105" t="s">
        <v>1703</v>
      </c>
      <c r="B1194" s="106">
        <v>226</v>
      </c>
      <c r="C1194" s="87">
        <f t="shared" si="36"/>
        <v>-4.3296805753324286E-2</v>
      </c>
      <c r="D1194" s="106">
        <v>48991.89</v>
      </c>
      <c r="E1194" s="87">
        <f t="shared" si="37"/>
        <v>-2.8048462593458723E-2</v>
      </c>
    </row>
    <row r="1195" spans="1:5" x14ac:dyDescent="0.2">
      <c r="A1195" s="105" t="s">
        <v>1704</v>
      </c>
      <c r="B1195" s="106">
        <v>226</v>
      </c>
      <c r="C1195" s="87">
        <f t="shared" si="36"/>
        <v>0</v>
      </c>
      <c r="D1195" s="106">
        <v>50169.11</v>
      </c>
      <c r="E1195" s="87">
        <f t="shared" si="37"/>
        <v>2.3744724445521115E-2</v>
      </c>
    </row>
    <row r="1196" spans="1:5" x14ac:dyDescent="0.2">
      <c r="A1196" s="105" t="s">
        <v>1705</v>
      </c>
      <c r="B1196" s="106">
        <v>242</v>
      </c>
      <c r="C1196" s="87">
        <f t="shared" si="36"/>
        <v>6.8402726884400522E-2</v>
      </c>
      <c r="D1196" s="106">
        <v>51486.94</v>
      </c>
      <c r="E1196" s="87">
        <f t="shared" si="37"/>
        <v>2.5928684622991582E-2</v>
      </c>
    </row>
    <row r="1197" spans="1:5" x14ac:dyDescent="0.2">
      <c r="A1197" s="105" t="s">
        <v>1706</v>
      </c>
      <c r="B1197" s="106">
        <v>228</v>
      </c>
      <c r="C1197" s="87">
        <f t="shared" si="36"/>
        <v>-5.9592097202245675E-2</v>
      </c>
      <c r="D1197" s="106">
        <v>51289.49</v>
      </c>
      <c r="E1197" s="87">
        <f t="shared" si="37"/>
        <v>-3.8423253837560623E-3</v>
      </c>
    </row>
    <row r="1198" spans="1:5" x14ac:dyDescent="0.2">
      <c r="A1198" s="105" t="s">
        <v>1707</v>
      </c>
      <c r="B1198" s="106">
        <v>222</v>
      </c>
      <c r="C1198" s="87">
        <f t="shared" si="36"/>
        <v>-2.6668247082161756E-2</v>
      </c>
      <c r="D1198" s="106">
        <v>51451.61</v>
      </c>
      <c r="E1198" s="87">
        <f t="shared" si="37"/>
        <v>3.155896414488879E-3</v>
      </c>
    </row>
    <row r="1199" spans="1:5" x14ac:dyDescent="0.2">
      <c r="A1199" s="105" t="s">
        <v>1708</v>
      </c>
      <c r="B1199" s="106">
        <v>208</v>
      </c>
      <c r="C1199" s="87">
        <f t="shared" si="36"/>
        <v>-6.5139302170961422E-2</v>
      </c>
      <c r="D1199" s="106">
        <v>51494.63</v>
      </c>
      <c r="E1199" s="87">
        <f t="shared" si="37"/>
        <v>8.3577608087814781E-4</v>
      </c>
    </row>
    <row r="1200" spans="1:5" x14ac:dyDescent="0.2">
      <c r="A1200" s="105" t="s">
        <v>1709</v>
      </c>
      <c r="B1200" s="106">
        <v>190</v>
      </c>
      <c r="C1200" s="87">
        <f t="shared" si="36"/>
        <v>-9.051400754083172E-2</v>
      </c>
      <c r="D1200" s="106">
        <v>50202.54</v>
      </c>
      <c r="E1200" s="87">
        <f t="shared" si="37"/>
        <v>-2.5411907361114316E-2</v>
      </c>
    </row>
    <row r="1201" spans="1:5" x14ac:dyDescent="0.2">
      <c r="A1201" s="105" t="s">
        <v>1710</v>
      </c>
      <c r="B1201" s="106">
        <v>183</v>
      </c>
      <c r="C1201" s="87">
        <f t="shared" si="36"/>
        <v>-3.7537919319064805E-2</v>
      </c>
      <c r="D1201" s="106">
        <v>49728.3</v>
      </c>
      <c r="E1201" s="87">
        <f t="shared" si="37"/>
        <v>-9.4914354817117186E-3</v>
      </c>
    </row>
    <row r="1202" spans="1:5" x14ac:dyDescent="0.2">
      <c r="A1202" s="105" t="s">
        <v>1711</v>
      </c>
      <c r="B1202" s="106">
        <v>168</v>
      </c>
      <c r="C1202" s="87">
        <f t="shared" si="36"/>
        <v>-8.5522173438162596E-2</v>
      </c>
      <c r="D1202" s="106">
        <v>48879.21</v>
      </c>
      <c r="E1202" s="87">
        <f t="shared" si="37"/>
        <v>-1.7222034842244938E-2</v>
      </c>
    </row>
    <row r="1203" spans="1:5" x14ac:dyDescent="0.2">
      <c r="A1203" s="105" t="s">
        <v>437</v>
      </c>
      <c r="B1203" s="106">
        <v>169</v>
      </c>
      <c r="C1203" s="87">
        <f t="shared" si="36"/>
        <v>5.9347355198147156E-3</v>
      </c>
      <c r="D1203" s="106">
        <v>48647.15</v>
      </c>
      <c r="E1203" s="87">
        <f t="shared" si="37"/>
        <v>-4.7589274932970937E-3</v>
      </c>
    </row>
    <row r="1204" spans="1:5" x14ac:dyDescent="0.2">
      <c r="A1204" s="105" t="s">
        <v>1712</v>
      </c>
      <c r="B1204" s="106">
        <v>180</v>
      </c>
      <c r="C1204" s="87">
        <f t="shared" si="36"/>
        <v>6.3058135967136941E-2</v>
      </c>
      <c r="D1204" s="106">
        <v>48127.64</v>
      </c>
      <c r="E1204" s="87">
        <f t="shared" si="37"/>
        <v>-1.073657696376884E-2</v>
      </c>
    </row>
    <row r="1205" spans="1:5" x14ac:dyDescent="0.2">
      <c r="A1205" s="105" t="s">
        <v>1713</v>
      </c>
      <c r="B1205" s="106">
        <v>180</v>
      </c>
      <c r="C1205" s="87">
        <f t="shared" si="36"/>
        <v>0</v>
      </c>
      <c r="D1205" s="106">
        <v>48144.34</v>
      </c>
      <c r="E1205" s="87">
        <f t="shared" si="37"/>
        <v>3.4693376343852833E-4</v>
      </c>
    </row>
    <row r="1206" spans="1:5" x14ac:dyDescent="0.2">
      <c r="A1206" s="105" t="s">
        <v>1714</v>
      </c>
      <c r="B1206" s="106">
        <v>183</v>
      </c>
      <c r="C1206" s="87">
        <f t="shared" si="36"/>
        <v>1.652930195121094E-2</v>
      </c>
      <c r="D1206" s="106">
        <v>47889.07</v>
      </c>
      <c r="E1206" s="87">
        <f t="shared" si="37"/>
        <v>-5.3162873467158533E-3</v>
      </c>
    </row>
    <row r="1207" spans="1:5" x14ac:dyDescent="0.2">
      <c r="A1207" s="105" t="s">
        <v>1715</v>
      </c>
      <c r="B1207" s="106">
        <v>183</v>
      </c>
      <c r="C1207" s="87">
        <f t="shared" si="36"/>
        <v>0</v>
      </c>
      <c r="D1207" s="106">
        <v>47897.84</v>
      </c>
      <c r="E1207" s="87">
        <f t="shared" si="37"/>
        <v>1.8311479145793896E-4</v>
      </c>
    </row>
    <row r="1208" spans="1:5" x14ac:dyDescent="0.2">
      <c r="A1208" s="105" t="s">
        <v>1716</v>
      </c>
      <c r="B1208" s="106">
        <v>187</v>
      </c>
      <c r="C1208" s="87">
        <f t="shared" si="36"/>
        <v>2.1622464013165477E-2</v>
      </c>
      <c r="D1208" s="106">
        <v>46412.32</v>
      </c>
      <c r="E1208" s="87">
        <f t="shared" si="37"/>
        <v>-3.1505468224262145E-2</v>
      </c>
    </row>
    <row r="1209" spans="1:5" x14ac:dyDescent="0.2">
      <c r="A1209" s="105" t="s">
        <v>1717</v>
      </c>
      <c r="B1209" s="106">
        <v>185</v>
      </c>
      <c r="C1209" s="87">
        <f t="shared" si="36"/>
        <v>-1.0752791776262427E-2</v>
      </c>
      <c r="D1209" s="106">
        <v>45915.72</v>
      </c>
      <c r="E1209" s="87">
        <f t="shared" si="37"/>
        <v>-1.0757399137636625E-2</v>
      </c>
    </row>
    <row r="1210" spans="1:5" x14ac:dyDescent="0.2">
      <c r="A1210" s="105" t="s">
        <v>1718</v>
      </c>
      <c r="B1210" s="106">
        <v>177</v>
      </c>
      <c r="C1210" s="87">
        <f t="shared" si="36"/>
        <v>-4.4206092504495587E-2</v>
      </c>
      <c r="D1210" s="106">
        <v>46073.39</v>
      </c>
      <c r="E1210" s="87">
        <f t="shared" si="37"/>
        <v>3.4280178252039661E-3</v>
      </c>
    </row>
    <row r="1211" spans="1:5" x14ac:dyDescent="0.2">
      <c r="A1211" s="105" t="s">
        <v>1719</v>
      </c>
      <c r="B1211" s="106">
        <v>160</v>
      </c>
      <c r="C1211" s="87">
        <f t="shared" si="36"/>
        <v>-0.10097591734000222</v>
      </c>
      <c r="D1211" s="106">
        <v>46295.02</v>
      </c>
      <c r="E1211" s="87">
        <f t="shared" si="37"/>
        <v>4.798835994320072E-3</v>
      </c>
    </row>
    <row r="1212" spans="1:5" x14ac:dyDescent="0.2">
      <c r="A1212" s="105" t="s">
        <v>1720</v>
      </c>
      <c r="B1212" s="106">
        <v>165</v>
      </c>
      <c r="C1212" s="87">
        <f t="shared" si="36"/>
        <v>3.0771658666753687E-2</v>
      </c>
      <c r="D1212" s="106">
        <v>45949.97</v>
      </c>
      <c r="E1212" s="87">
        <f t="shared" si="37"/>
        <v>-7.4811999940980201E-3</v>
      </c>
    </row>
    <row r="1213" spans="1:5" x14ac:dyDescent="0.2">
      <c r="A1213" s="105" t="s">
        <v>1721</v>
      </c>
      <c r="B1213" s="106">
        <v>165</v>
      </c>
      <c r="C1213" s="87">
        <f t="shared" si="36"/>
        <v>0</v>
      </c>
      <c r="D1213" s="106">
        <v>45873.81</v>
      </c>
      <c r="E1213" s="87">
        <f t="shared" si="37"/>
        <v>-1.658829934125805E-3</v>
      </c>
    </row>
    <row r="1214" spans="1:5" x14ac:dyDescent="0.2">
      <c r="A1214" s="105" t="s">
        <v>1722</v>
      </c>
      <c r="B1214" s="106">
        <v>164</v>
      </c>
      <c r="C1214" s="87">
        <f t="shared" si="36"/>
        <v>-6.0790460763815446E-3</v>
      </c>
      <c r="D1214" s="106">
        <v>44348.22</v>
      </c>
      <c r="E1214" s="87">
        <f t="shared" si="37"/>
        <v>-3.3821793321127558E-2</v>
      </c>
    </row>
    <row r="1215" spans="1:5" x14ac:dyDescent="0.2">
      <c r="A1215" s="105" t="s">
        <v>1723</v>
      </c>
      <c r="B1215" s="106">
        <v>165</v>
      </c>
      <c r="C1215" s="87">
        <f t="shared" si="36"/>
        <v>6.0790460763815446E-3</v>
      </c>
      <c r="D1215" s="106">
        <v>44450.71</v>
      </c>
      <c r="E1215" s="87">
        <f t="shared" si="37"/>
        <v>2.3083621730606296E-3</v>
      </c>
    </row>
    <row r="1216" spans="1:5" x14ac:dyDescent="0.2">
      <c r="A1216" s="105" t="s">
        <v>1724</v>
      </c>
      <c r="B1216" s="106">
        <v>165</v>
      </c>
      <c r="C1216" s="87">
        <f t="shared" si="36"/>
        <v>0</v>
      </c>
      <c r="D1216" s="106">
        <v>45431.66</v>
      </c>
      <c r="E1216" s="87">
        <f t="shared" si="37"/>
        <v>2.1828283999486331E-2</v>
      </c>
    </row>
    <row r="1217" spans="1:5" x14ac:dyDescent="0.2">
      <c r="A1217" s="105" t="s">
        <v>1725</v>
      </c>
      <c r="B1217" s="106">
        <v>165</v>
      </c>
      <c r="C1217" s="87">
        <f t="shared" si="36"/>
        <v>0</v>
      </c>
      <c r="D1217" s="106">
        <v>45687.43</v>
      </c>
      <c r="E1217" s="87">
        <f t="shared" si="37"/>
        <v>5.6139865258728605E-3</v>
      </c>
    </row>
    <row r="1218" spans="1:5" x14ac:dyDescent="0.2">
      <c r="A1218" s="105" t="s">
        <v>1726</v>
      </c>
      <c r="B1218" s="106">
        <v>156</v>
      </c>
      <c r="C1218" s="87">
        <f t="shared" si="36"/>
        <v>-5.6089466651043196E-2</v>
      </c>
      <c r="D1218" s="106">
        <v>44840.24</v>
      </c>
      <c r="E1218" s="87">
        <f t="shared" si="37"/>
        <v>-1.8717254807484096E-2</v>
      </c>
    </row>
    <row r="1219" spans="1:5" x14ac:dyDescent="0.2">
      <c r="A1219" s="105" t="s">
        <v>1727</v>
      </c>
      <c r="B1219" s="106">
        <v>156</v>
      </c>
      <c r="C1219" s="87">
        <f t="shared" si="36"/>
        <v>0</v>
      </c>
      <c r="D1219" s="106">
        <v>45228.14</v>
      </c>
      <c r="E1219" s="87">
        <f t="shared" si="37"/>
        <v>8.6135089422221256E-3</v>
      </c>
    </row>
    <row r="1220" spans="1:5" x14ac:dyDescent="0.2">
      <c r="A1220" s="105" t="s">
        <v>1728</v>
      </c>
      <c r="B1220" s="106">
        <v>162</v>
      </c>
      <c r="C1220" s="87">
        <f t="shared" si="36"/>
        <v>3.7740327982846544E-2</v>
      </c>
      <c r="D1220" s="106">
        <v>44769.05</v>
      </c>
      <c r="E1220" s="87">
        <f t="shared" si="37"/>
        <v>-1.0202407034757499E-2</v>
      </c>
    </row>
    <row r="1221" spans="1:5" x14ac:dyDescent="0.2">
      <c r="A1221" s="105" t="s">
        <v>1729</v>
      </c>
      <c r="B1221" s="106">
        <v>160</v>
      </c>
      <c r="C1221" s="87">
        <f t="shared" ref="C1221:C1284" si="38">LN(B1221)-LN(B1220)</f>
        <v>-1.2422519998557036E-2</v>
      </c>
      <c r="D1221" s="106">
        <v>44312.99</v>
      </c>
      <c r="E1221" s="87">
        <f t="shared" ref="E1221:E1284" si="39">LN(D1221)-LN(D1220)</f>
        <v>-1.0239190401925669E-2</v>
      </c>
    </row>
    <row r="1222" spans="1:5" x14ac:dyDescent="0.2">
      <c r="A1222" s="105" t="s">
        <v>1730</v>
      </c>
      <c r="B1222" s="106">
        <v>157</v>
      </c>
      <c r="C1222" s="87">
        <f t="shared" si="38"/>
        <v>-1.8928009885518904E-2</v>
      </c>
      <c r="D1222" s="106">
        <v>45018.81</v>
      </c>
      <c r="E1222" s="87">
        <f t="shared" si="39"/>
        <v>1.5802540373520912E-2</v>
      </c>
    </row>
    <row r="1223" spans="1:5" x14ac:dyDescent="0.2">
      <c r="A1223" s="105" t="s">
        <v>1731</v>
      </c>
      <c r="B1223" s="106">
        <v>160</v>
      </c>
      <c r="C1223" s="87">
        <f t="shared" si="38"/>
        <v>1.8928009885518904E-2</v>
      </c>
      <c r="D1223" s="106">
        <v>45023.6</v>
      </c>
      <c r="E1223" s="87">
        <f t="shared" si="39"/>
        <v>1.0639430918146786E-4</v>
      </c>
    </row>
    <row r="1224" spans="1:5" x14ac:dyDescent="0.2">
      <c r="A1224" s="105" t="s">
        <v>1732</v>
      </c>
      <c r="B1224" s="106">
        <v>160</v>
      </c>
      <c r="C1224" s="87">
        <f t="shared" si="38"/>
        <v>0</v>
      </c>
      <c r="D1224" s="106">
        <v>46117</v>
      </c>
      <c r="E1224" s="87">
        <f t="shared" si="39"/>
        <v>2.3994848841677907E-2</v>
      </c>
    </row>
    <row r="1225" spans="1:5" x14ac:dyDescent="0.2">
      <c r="A1225" s="105" t="s">
        <v>1733</v>
      </c>
      <c r="B1225" s="106">
        <v>155</v>
      </c>
      <c r="C1225" s="87">
        <f t="shared" si="38"/>
        <v>-3.1748698314579826E-2</v>
      </c>
      <c r="D1225" s="106">
        <v>46114.95</v>
      </c>
      <c r="E1225" s="87">
        <f t="shared" si="39"/>
        <v>-4.4453142328038098E-5</v>
      </c>
    </row>
    <row r="1226" spans="1:5" x14ac:dyDescent="0.2">
      <c r="A1226" s="105" t="s">
        <v>1734</v>
      </c>
      <c r="B1226" s="106">
        <v>161</v>
      </c>
      <c r="C1226" s="87">
        <f t="shared" si="38"/>
        <v>3.7979248065216353E-2</v>
      </c>
      <c r="D1226" s="106">
        <v>44754.03</v>
      </c>
      <c r="E1226" s="87">
        <f t="shared" si="39"/>
        <v>-2.9955695909187341E-2</v>
      </c>
    </row>
    <row r="1227" spans="1:5" x14ac:dyDescent="0.2">
      <c r="A1227" s="105" t="s">
        <v>1735</v>
      </c>
      <c r="B1227" s="106">
        <v>154</v>
      </c>
      <c r="C1227" s="87">
        <f t="shared" si="38"/>
        <v>-4.4451762570833608E-2</v>
      </c>
      <c r="D1227" s="106">
        <v>44704.71</v>
      </c>
      <c r="E1227" s="87">
        <f t="shared" si="39"/>
        <v>-1.1026313358968309E-3</v>
      </c>
    </row>
    <row r="1228" spans="1:5" x14ac:dyDescent="0.2">
      <c r="A1228" s="105" t="s">
        <v>1736</v>
      </c>
      <c r="B1228" s="106">
        <v>149</v>
      </c>
      <c r="C1228" s="87">
        <f t="shared" si="38"/>
        <v>-3.3006296468170326E-2</v>
      </c>
      <c r="D1228" s="106">
        <v>44884.25</v>
      </c>
      <c r="E1228" s="87">
        <f t="shared" si="39"/>
        <v>4.0080885045590264E-3</v>
      </c>
    </row>
    <row r="1229" spans="1:5" x14ac:dyDescent="0.2">
      <c r="A1229" s="105" t="s">
        <v>1737</v>
      </c>
      <c r="B1229" s="106">
        <v>154</v>
      </c>
      <c r="C1229" s="87">
        <f t="shared" si="38"/>
        <v>3.3006296468170326E-2</v>
      </c>
      <c r="D1229" s="106">
        <v>44777.61</v>
      </c>
      <c r="E1229" s="87">
        <f t="shared" si="39"/>
        <v>-2.3787159954817838E-3</v>
      </c>
    </row>
    <row r="1230" spans="1:5" x14ac:dyDescent="0.2">
      <c r="A1230" s="105" t="s">
        <v>1738</v>
      </c>
      <c r="B1230" s="106">
        <v>140</v>
      </c>
      <c r="C1230" s="87">
        <f t="shared" si="38"/>
        <v>-9.5310179804325657E-2</v>
      </c>
      <c r="D1230" s="106">
        <v>43959.51</v>
      </c>
      <c r="E1230" s="87">
        <f t="shared" si="39"/>
        <v>-1.8439254728697563E-2</v>
      </c>
    </row>
    <row r="1231" spans="1:5" x14ac:dyDescent="0.2">
      <c r="A1231" s="105" t="s">
        <v>1739</v>
      </c>
      <c r="B1231" s="106">
        <v>156</v>
      </c>
      <c r="C1231" s="87">
        <f t="shared" si="38"/>
        <v>0.10821358464023323</v>
      </c>
      <c r="D1231" s="106">
        <v>45617.35</v>
      </c>
      <c r="E1231" s="87">
        <f t="shared" si="39"/>
        <v>3.7019143634902107E-2</v>
      </c>
    </row>
    <row r="1232" spans="1:5" x14ac:dyDescent="0.2">
      <c r="A1232" s="105" t="s">
        <v>1740</v>
      </c>
      <c r="B1232" s="106">
        <v>165</v>
      </c>
      <c r="C1232" s="87">
        <f t="shared" si="38"/>
        <v>5.6089466651043196E-2</v>
      </c>
      <c r="D1232" s="106">
        <v>44666.91</v>
      </c>
      <c r="E1232" s="87">
        <f t="shared" si="39"/>
        <v>-2.1055167582229473E-2</v>
      </c>
    </row>
    <row r="1233" spans="1:5" x14ac:dyDescent="0.2">
      <c r="A1233" s="105" t="s">
        <v>1741</v>
      </c>
      <c r="B1233" s="106">
        <v>165</v>
      </c>
      <c r="C1233" s="87">
        <f t="shared" si="38"/>
        <v>0</v>
      </c>
      <c r="D1233" s="106">
        <v>46092.44</v>
      </c>
      <c r="E1233" s="87">
        <f t="shared" si="39"/>
        <v>3.1415986202189217E-2</v>
      </c>
    </row>
    <row r="1234" spans="1:5" x14ac:dyDescent="0.2">
      <c r="A1234" s="105" t="s">
        <v>1742</v>
      </c>
      <c r="B1234" s="106">
        <v>169</v>
      </c>
      <c r="C1234" s="87">
        <f t="shared" si="38"/>
        <v>2.3953241022493188E-2</v>
      </c>
      <c r="D1234" s="106">
        <v>44499.23</v>
      </c>
      <c r="E1234" s="87">
        <f t="shared" si="39"/>
        <v>-3.5177059579641679E-2</v>
      </c>
    </row>
    <row r="1235" spans="1:5" x14ac:dyDescent="0.2">
      <c r="A1235" s="105" t="s">
        <v>1743</v>
      </c>
      <c r="B1235" s="106">
        <v>169</v>
      </c>
      <c r="C1235" s="87">
        <f t="shared" si="38"/>
        <v>0</v>
      </c>
      <c r="D1235" s="106">
        <v>43573.02</v>
      </c>
      <c r="E1235" s="87">
        <f t="shared" si="39"/>
        <v>-2.1033734176448604E-2</v>
      </c>
    </row>
    <row r="1236" spans="1:5" x14ac:dyDescent="0.2">
      <c r="A1236" s="105" t="s">
        <v>1744</v>
      </c>
      <c r="B1236" s="106">
        <v>170</v>
      </c>
      <c r="C1236" s="87">
        <f t="shared" si="38"/>
        <v>5.8997221271885891E-3</v>
      </c>
      <c r="D1236" s="106">
        <v>44110.86</v>
      </c>
      <c r="E1236" s="87">
        <f t="shared" si="39"/>
        <v>1.22678591642984E-2</v>
      </c>
    </row>
    <row r="1237" spans="1:5" x14ac:dyDescent="0.2">
      <c r="A1237" s="105" t="s">
        <v>1745</v>
      </c>
      <c r="B1237" s="106">
        <v>167</v>
      </c>
      <c r="C1237" s="87">
        <f t="shared" si="38"/>
        <v>-1.7804624633506627E-2</v>
      </c>
      <c r="D1237" s="106">
        <v>43514.41</v>
      </c>
      <c r="E1237" s="87">
        <f t="shared" si="39"/>
        <v>-1.3613863033025808E-2</v>
      </c>
    </row>
    <row r="1238" spans="1:5" x14ac:dyDescent="0.2">
      <c r="A1238" s="105" t="s">
        <v>1746</v>
      </c>
      <c r="B1238" s="106">
        <v>145</v>
      </c>
      <c r="C1238" s="87">
        <f t="shared" si="38"/>
        <v>-0.14126006999618124</v>
      </c>
      <c r="D1238" s="106">
        <v>41532.370000000003</v>
      </c>
      <c r="E1238" s="87">
        <f t="shared" si="39"/>
        <v>-4.6619024411784338E-2</v>
      </c>
    </row>
    <row r="1239" spans="1:5" x14ac:dyDescent="0.2">
      <c r="A1239" s="105" t="s">
        <v>1747</v>
      </c>
      <c r="B1239" s="106">
        <v>133</v>
      </c>
      <c r="C1239" s="87">
        <f t="shared" si="38"/>
        <v>-8.6384614198820486E-2</v>
      </c>
      <c r="D1239" s="106">
        <v>41219.51</v>
      </c>
      <c r="E1239" s="87">
        <f t="shared" si="39"/>
        <v>-7.5614352363704285E-3</v>
      </c>
    </row>
    <row r="1240" spans="1:5" x14ac:dyDescent="0.2">
      <c r="A1240" s="105" t="s">
        <v>439</v>
      </c>
      <c r="B1240" s="106">
        <v>133</v>
      </c>
      <c r="C1240" s="87">
        <f t="shared" si="38"/>
        <v>0</v>
      </c>
      <c r="D1240" s="106">
        <v>41028.82</v>
      </c>
      <c r="E1240" s="87">
        <f t="shared" si="39"/>
        <v>-4.636941362148761E-3</v>
      </c>
    </row>
    <row r="1241" spans="1:5" x14ac:dyDescent="0.2">
      <c r="A1241" s="105" t="s">
        <v>1748</v>
      </c>
      <c r="B1241" s="106">
        <v>137</v>
      </c>
      <c r="C1241" s="87">
        <f t="shared" si="38"/>
        <v>2.9631797606371357E-2</v>
      </c>
      <c r="D1241" s="106">
        <v>41624.620000000003</v>
      </c>
      <c r="E1241" s="87">
        <f t="shared" si="39"/>
        <v>1.4417072533584374E-2</v>
      </c>
    </row>
    <row r="1242" spans="1:5" x14ac:dyDescent="0.2">
      <c r="A1242" s="105" t="s">
        <v>1749</v>
      </c>
      <c r="B1242" s="106">
        <v>134</v>
      </c>
      <c r="C1242" s="87">
        <f t="shared" si="38"/>
        <v>-2.2141125877213952E-2</v>
      </c>
      <c r="D1242" s="106">
        <v>40827.129999999997</v>
      </c>
      <c r="E1242" s="87">
        <f t="shared" si="39"/>
        <v>-1.9345007721247143E-2</v>
      </c>
    </row>
    <row r="1243" spans="1:5" x14ac:dyDescent="0.2">
      <c r="A1243" s="105" t="s">
        <v>1750</v>
      </c>
      <c r="B1243" s="106">
        <v>136</v>
      </c>
      <c r="C1243" s="87">
        <f t="shared" si="38"/>
        <v>1.4815085785141235E-2</v>
      </c>
      <c r="D1243" s="106">
        <v>40886.9</v>
      </c>
      <c r="E1243" s="87">
        <f t="shared" si="39"/>
        <v>1.4629069367764203E-3</v>
      </c>
    </row>
    <row r="1244" spans="1:5" x14ac:dyDescent="0.2">
      <c r="A1244" s="105" t="s">
        <v>1751</v>
      </c>
      <c r="B1244" s="106">
        <v>136</v>
      </c>
      <c r="C1244" s="87">
        <f t="shared" si="38"/>
        <v>0</v>
      </c>
      <c r="D1244" s="106">
        <v>41202.980000000003</v>
      </c>
      <c r="E1244" s="87">
        <f t="shared" si="39"/>
        <v>7.7008654915342589E-3</v>
      </c>
    </row>
    <row r="1245" spans="1:5" x14ac:dyDescent="0.2">
      <c r="A1245" s="105" t="s">
        <v>1752</v>
      </c>
      <c r="B1245" s="106">
        <v>143</v>
      </c>
      <c r="C1245" s="87">
        <f t="shared" si="38"/>
        <v>5.0189744523854607E-2</v>
      </c>
      <c r="D1245" s="106">
        <v>40144.28</v>
      </c>
      <c r="E1245" s="87">
        <f t="shared" si="39"/>
        <v>-2.6030619346736117E-2</v>
      </c>
    </row>
    <row r="1246" spans="1:5" x14ac:dyDescent="0.2">
      <c r="A1246" s="105" t="s">
        <v>1753</v>
      </c>
      <c r="B1246" s="106">
        <v>147</v>
      </c>
      <c r="C1246" s="87">
        <f t="shared" si="38"/>
        <v>2.758795651882906E-2</v>
      </c>
      <c r="D1246" s="106">
        <v>41153.199999999997</v>
      </c>
      <c r="E1246" s="87">
        <f t="shared" si="39"/>
        <v>2.4821723886493174E-2</v>
      </c>
    </row>
    <row r="1247" spans="1:5" x14ac:dyDescent="0.2">
      <c r="A1247" s="105" t="s">
        <v>1754</v>
      </c>
      <c r="B1247" s="106">
        <v>135</v>
      </c>
      <c r="C1247" s="87">
        <f t="shared" si="38"/>
        <v>-8.5157808340306396E-2</v>
      </c>
      <c r="D1247" s="106">
        <v>41041.919999999998</v>
      </c>
      <c r="E1247" s="87">
        <f t="shared" si="39"/>
        <v>-2.7077049827042288E-3</v>
      </c>
    </row>
    <row r="1248" spans="1:5" x14ac:dyDescent="0.2">
      <c r="A1248" s="105" t="s">
        <v>1755</v>
      </c>
      <c r="B1248" s="106">
        <v>125</v>
      </c>
      <c r="C1248" s="87">
        <f t="shared" si="38"/>
        <v>-7.6961041136128117E-2</v>
      </c>
      <c r="D1248" s="106">
        <v>39313.78</v>
      </c>
      <c r="E1248" s="87">
        <f t="shared" si="39"/>
        <v>-4.3018889844876895E-2</v>
      </c>
    </row>
    <row r="1249" spans="1:5" x14ac:dyDescent="0.2">
      <c r="A1249" s="105" t="s">
        <v>1756</v>
      </c>
      <c r="B1249" s="106">
        <v>125</v>
      </c>
      <c r="C1249" s="87">
        <f t="shared" si="38"/>
        <v>0</v>
      </c>
      <c r="D1249" s="106">
        <v>37738.36</v>
      </c>
      <c r="E1249" s="87">
        <f t="shared" si="39"/>
        <v>-4.0898009772774913E-2</v>
      </c>
    </row>
    <row r="1250" spans="1:5" x14ac:dyDescent="0.2">
      <c r="A1250" s="105" t="s">
        <v>1757</v>
      </c>
      <c r="B1250" s="106">
        <v>120</v>
      </c>
      <c r="C1250" s="87">
        <f t="shared" si="38"/>
        <v>-4.08219945202557E-2</v>
      </c>
      <c r="D1250" s="106">
        <v>38629.629999999997</v>
      </c>
      <c r="E1250" s="87">
        <f t="shared" si="39"/>
        <v>2.3342514807897174E-2</v>
      </c>
    </row>
    <row r="1251" spans="1:5" x14ac:dyDescent="0.2">
      <c r="A1251" s="105" t="s">
        <v>1758</v>
      </c>
      <c r="B1251" s="106">
        <v>120</v>
      </c>
      <c r="C1251" s="87">
        <f t="shared" si="38"/>
        <v>0</v>
      </c>
      <c r="D1251" s="106">
        <v>37164.019999999997</v>
      </c>
      <c r="E1251" s="87">
        <f t="shared" si="39"/>
        <v>-3.8678509650045712E-2</v>
      </c>
    </row>
    <row r="1252" spans="1:5" x14ac:dyDescent="0.2">
      <c r="A1252" s="105" t="s">
        <v>1759</v>
      </c>
      <c r="B1252" s="106">
        <v>147</v>
      </c>
      <c r="C1252" s="87">
        <f t="shared" si="38"/>
        <v>0.20294084399669021</v>
      </c>
      <c r="D1252" s="106">
        <v>42546.879999999997</v>
      </c>
      <c r="E1252" s="87">
        <f t="shared" si="39"/>
        <v>0.13526543789740053</v>
      </c>
    </row>
    <row r="1253" spans="1:5" x14ac:dyDescent="0.2">
      <c r="A1253" s="105" t="s">
        <v>1760</v>
      </c>
      <c r="B1253" s="106">
        <v>162</v>
      </c>
      <c r="C1253" s="87">
        <f t="shared" si="38"/>
        <v>9.7163748453647614E-2</v>
      </c>
      <c r="D1253" s="106">
        <v>45043.23</v>
      </c>
      <c r="E1253" s="87">
        <f t="shared" si="39"/>
        <v>5.7016168460553018E-2</v>
      </c>
    </row>
    <row r="1254" spans="1:5" x14ac:dyDescent="0.2">
      <c r="A1254" s="105" t="s">
        <v>1761</v>
      </c>
      <c r="B1254" s="106">
        <v>169</v>
      </c>
      <c r="C1254" s="87">
        <f t="shared" si="38"/>
        <v>4.230237969068984E-2</v>
      </c>
      <c r="D1254" s="106">
        <v>45625.56</v>
      </c>
      <c r="E1254" s="87">
        <f t="shared" si="39"/>
        <v>1.2845390507855825E-2</v>
      </c>
    </row>
    <row r="1255" spans="1:5" x14ac:dyDescent="0.2">
      <c r="A1255" s="105" t="s">
        <v>1762</v>
      </c>
      <c r="B1255" s="106">
        <v>176</v>
      </c>
      <c r="C1255" s="87">
        <f t="shared" si="38"/>
        <v>4.0585280115077893E-2</v>
      </c>
      <c r="D1255" s="106">
        <v>49326.23</v>
      </c>
      <c r="E1255" s="87">
        <f t="shared" si="39"/>
        <v>7.7987902442535173E-2</v>
      </c>
    </row>
    <row r="1256" spans="1:5" x14ac:dyDescent="0.2">
      <c r="A1256" s="105" t="s">
        <v>1763</v>
      </c>
      <c r="B1256" s="106">
        <v>169</v>
      </c>
      <c r="C1256" s="87">
        <f t="shared" si="38"/>
        <v>-4.0585280115077893E-2</v>
      </c>
      <c r="D1256" s="106">
        <v>50753.91</v>
      </c>
      <c r="E1256" s="87">
        <f t="shared" si="39"/>
        <v>2.8532671046640701E-2</v>
      </c>
    </row>
    <row r="1257" spans="1:5" x14ac:dyDescent="0.2">
      <c r="A1257" s="105" t="s">
        <v>1764</v>
      </c>
      <c r="B1257" s="106">
        <v>164</v>
      </c>
      <c r="C1257" s="87">
        <f t="shared" si="38"/>
        <v>-3.0032287098874733E-2</v>
      </c>
      <c r="D1257" s="106">
        <v>51585.66</v>
      </c>
      <c r="E1257" s="87">
        <f t="shared" si="39"/>
        <v>1.6255067598363482E-2</v>
      </c>
    </row>
    <row r="1258" spans="1:5" x14ac:dyDescent="0.2">
      <c r="A1258" s="105" t="s">
        <v>1765</v>
      </c>
      <c r="B1258" s="106">
        <v>169</v>
      </c>
      <c r="C1258" s="87">
        <f t="shared" si="38"/>
        <v>3.0032287098874733E-2</v>
      </c>
      <c r="D1258" s="106">
        <v>52231.14</v>
      </c>
      <c r="E1258" s="87">
        <f t="shared" si="39"/>
        <v>1.2435141859011623E-2</v>
      </c>
    </row>
    <row r="1259" spans="1:5" x14ac:dyDescent="0.2">
      <c r="A1259" s="105" t="s">
        <v>1766</v>
      </c>
      <c r="B1259" s="106">
        <v>170</v>
      </c>
      <c r="C1259" s="87">
        <f t="shared" si="38"/>
        <v>5.8997221271885891E-3</v>
      </c>
      <c r="D1259" s="106">
        <v>50150.48</v>
      </c>
      <c r="E1259" s="87">
        <f t="shared" si="39"/>
        <v>-4.0650783098202581E-2</v>
      </c>
    </row>
    <row r="1260" spans="1:5" x14ac:dyDescent="0.2">
      <c r="A1260" s="105" t="s">
        <v>1767</v>
      </c>
      <c r="B1260" s="106">
        <v>162</v>
      </c>
      <c r="C1260" s="87">
        <f t="shared" si="38"/>
        <v>-4.8202101817878429E-2</v>
      </c>
      <c r="D1260" s="106">
        <v>49276.54</v>
      </c>
      <c r="E1260" s="87">
        <f t="shared" si="39"/>
        <v>-1.7579979926889422E-2</v>
      </c>
    </row>
    <row r="1261" spans="1:5" x14ac:dyDescent="0.2">
      <c r="A1261" s="105" t="s">
        <v>1768</v>
      </c>
      <c r="B1261" s="106">
        <v>162</v>
      </c>
      <c r="C1261" s="87">
        <f t="shared" si="38"/>
        <v>0</v>
      </c>
      <c r="D1261" s="106">
        <v>51318.69</v>
      </c>
      <c r="E1261" s="87">
        <f t="shared" si="39"/>
        <v>4.0606907589568308E-2</v>
      </c>
    </row>
    <row r="1262" spans="1:5" x14ac:dyDescent="0.2">
      <c r="A1262" s="105" t="s">
        <v>1769</v>
      </c>
      <c r="B1262" s="106">
        <v>158</v>
      </c>
      <c r="C1262" s="87">
        <f t="shared" si="38"/>
        <v>-2.5001302205416742E-2</v>
      </c>
      <c r="D1262" s="106">
        <v>53451.01</v>
      </c>
      <c r="E1262" s="87">
        <f t="shared" si="39"/>
        <v>4.0710520146202356E-2</v>
      </c>
    </row>
    <row r="1263" spans="1:5" x14ac:dyDescent="0.2">
      <c r="A1263" s="105" t="s">
        <v>1770</v>
      </c>
      <c r="B1263" s="106">
        <v>160</v>
      </c>
      <c r="C1263" s="87">
        <f t="shared" si="38"/>
        <v>1.2578782206859707E-2</v>
      </c>
      <c r="D1263" s="106">
        <v>53781.02</v>
      </c>
      <c r="E1263" s="87">
        <f t="shared" si="39"/>
        <v>6.1550833621222267E-3</v>
      </c>
    </row>
    <row r="1264" spans="1:5" x14ac:dyDescent="0.2">
      <c r="A1264" s="105" t="s">
        <v>1771</v>
      </c>
      <c r="B1264" s="106">
        <v>162</v>
      </c>
      <c r="C1264" s="87">
        <f t="shared" si="38"/>
        <v>1.2422519998557036E-2</v>
      </c>
      <c r="D1264" s="106">
        <v>55088.26</v>
      </c>
      <c r="E1264" s="87">
        <f t="shared" si="39"/>
        <v>2.4016009486917511E-2</v>
      </c>
    </row>
    <row r="1265" spans="1:5" x14ac:dyDescent="0.2">
      <c r="A1265" s="105" t="s">
        <v>1772</v>
      </c>
      <c r="B1265" s="106">
        <v>180</v>
      </c>
      <c r="C1265" s="87">
        <f t="shared" si="38"/>
        <v>0.10536051565782678</v>
      </c>
      <c r="D1265" s="106">
        <v>57424.47</v>
      </c>
      <c r="E1265" s="87">
        <f t="shared" si="39"/>
        <v>4.1533892796676852E-2</v>
      </c>
    </row>
    <row r="1266" spans="1:5" x14ac:dyDescent="0.2">
      <c r="A1266" s="105" t="s">
        <v>1773</v>
      </c>
      <c r="B1266" s="106">
        <v>180</v>
      </c>
      <c r="C1266" s="87">
        <f t="shared" si="38"/>
        <v>0</v>
      </c>
      <c r="D1266" s="106">
        <v>57693.120000000003</v>
      </c>
      <c r="E1266" s="87">
        <f t="shared" si="39"/>
        <v>4.6674098668173514E-3</v>
      </c>
    </row>
    <row r="1267" spans="1:5" x14ac:dyDescent="0.2">
      <c r="A1267" s="105" t="s">
        <v>1774</v>
      </c>
      <c r="B1267" s="106">
        <v>180</v>
      </c>
      <c r="C1267" s="87">
        <f t="shared" si="38"/>
        <v>0</v>
      </c>
      <c r="D1267" s="106">
        <v>57957.760000000002</v>
      </c>
      <c r="E1267" s="87">
        <f t="shared" si="39"/>
        <v>4.5765403929607373E-3</v>
      </c>
    </row>
    <row r="1268" spans="1:5" x14ac:dyDescent="0.2">
      <c r="A1268" s="105" t="s">
        <v>1775</v>
      </c>
      <c r="B1268" s="106">
        <v>166</v>
      </c>
      <c r="C1268" s="87">
        <f t="shared" si="38"/>
        <v>-8.0969062533666758E-2</v>
      </c>
      <c r="D1268" s="106">
        <v>57894.45</v>
      </c>
      <c r="E1268" s="87">
        <f t="shared" si="39"/>
        <v>-1.0929443003657724E-3</v>
      </c>
    </row>
    <row r="1269" spans="1:5" x14ac:dyDescent="0.2">
      <c r="A1269" s="105" t="s">
        <v>1776</v>
      </c>
      <c r="B1269" s="106">
        <v>164</v>
      </c>
      <c r="C1269" s="87">
        <f t="shared" si="38"/>
        <v>-1.2121360532344916E-2</v>
      </c>
      <c r="D1269" s="106">
        <v>58080.88</v>
      </c>
      <c r="E1269" s="87">
        <f t="shared" si="39"/>
        <v>3.2149968546164587E-3</v>
      </c>
    </row>
    <row r="1270" spans="1:5" x14ac:dyDescent="0.2">
      <c r="A1270" s="105" t="s">
        <v>1777</v>
      </c>
      <c r="B1270" s="106">
        <v>160</v>
      </c>
      <c r="C1270" s="87">
        <f t="shared" si="38"/>
        <v>-2.4692612590372143E-2</v>
      </c>
      <c r="D1270" s="106">
        <v>57895.19</v>
      </c>
      <c r="E1270" s="87">
        <f t="shared" si="39"/>
        <v>-3.2022150547934558E-3</v>
      </c>
    </row>
    <row r="1271" spans="1:5" x14ac:dyDescent="0.2">
      <c r="A1271" s="105" t="s">
        <v>1778</v>
      </c>
      <c r="B1271" s="106">
        <v>164</v>
      </c>
      <c r="C1271" s="87">
        <f t="shared" si="38"/>
        <v>2.4692612590372143E-2</v>
      </c>
      <c r="D1271" s="106">
        <v>57960.23</v>
      </c>
      <c r="E1271" s="87">
        <f t="shared" si="39"/>
        <v>1.122778836460725E-3</v>
      </c>
    </row>
    <row r="1272" spans="1:5" x14ac:dyDescent="0.2">
      <c r="A1272" s="105" t="s">
        <v>1779</v>
      </c>
      <c r="B1272" s="106">
        <v>165</v>
      </c>
      <c r="C1272" s="87">
        <f t="shared" si="38"/>
        <v>6.0790460763815446E-3</v>
      </c>
      <c r="D1272" s="106">
        <v>57816.86</v>
      </c>
      <c r="E1272" s="87">
        <f t="shared" si="39"/>
        <v>-2.4766570533767407E-3</v>
      </c>
    </row>
    <row r="1273" spans="1:5" x14ac:dyDescent="0.2">
      <c r="A1273" s="105" t="s">
        <v>1780</v>
      </c>
      <c r="B1273" s="106">
        <v>160</v>
      </c>
      <c r="C1273" s="87">
        <f t="shared" si="38"/>
        <v>-3.0771658666753687E-2</v>
      </c>
      <c r="D1273" s="106">
        <v>57474.879999999997</v>
      </c>
      <c r="E1273" s="87">
        <f t="shared" si="39"/>
        <v>-5.9324458624221421E-3</v>
      </c>
    </row>
    <row r="1274" spans="1:5" x14ac:dyDescent="0.2">
      <c r="A1274" s="105" t="s">
        <v>1781</v>
      </c>
      <c r="B1274" s="106">
        <v>156</v>
      </c>
      <c r="C1274" s="87">
        <f t="shared" si="38"/>
        <v>-2.5317807984289509E-2</v>
      </c>
      <c r="D1274" s="106">
        <v>57816.25</v>
      </c>
      <c r="E1274" s="87">
        <f t="shared" si="39"/>
        <v>5.9218952510970979E-3</v>
      </c>
    </row>
    <row r="1275" spans="1:5" x14ac:dyDescent="0.2">
      <c r="A1275" s="105" t="s">
        <v>1782</v>
      </c>
      <c r="B1275" s="106">
        <v>150</v>
      </c>
      <c r="C1275" s="87">
        <f t="shared" si="38"/>
        <v>-3.9220713153281572E-2</v>
      </c>
      <c r="D1275" s="106">
        <v>58121.81</v>
      </c>
      <c r="E1275" s="87">
        <f t="shared" si="39"/>
        <v>5.2711026471587985E-3</v>
      </c>
    </row>
    <row r="1276" spans="1:5" x14ac:dyDescent="0.2">
      <c r="A1276" s="105" t="s">
        <v>1783</v>
      </c>
      <c r="B1276" s="106">
        <v>141</v>
      </c>
      <c r="C1276" s="87">
        <f t="shared" si="38"/>
        <v>-6.1875403718087085E-2</v>
      </c>
      <c r="D1276" s="106">
        <v>57607.63</v>
      </c>
      <c r="E1276" s="87">
        <f t="shared" si="39"/>
        <v>-8.8859564741596841E-3</v>
      </c>
    </row>
    <row r="1277" spans="1:5" x14ac:dyDescent="0.2">
      <c r="A1277" s="105" t="s">
        <v>1784</v>
      </c>
      <c r="B1277" s="106">
        <v>129</v>
      </c>
      <c r="C1277" s="87">
        <f t="shared" si="38"/>
        <v>-8.8947486016496491E-2</v>
      </c>
      <c r="D1277" s="106">
        <v>56795.27</v>
      </c>
      <c r="E1277" s="87">
        <f t="shared" si="39"/>
        <v>-1.420197659518152E-2</v>
      </c>
    </row>
    <row r="1278" spans="1:5" x14ac:dyDescent="0.2">
      <c r="A1278" s="105" t="s">
        <v>1785</v>
      </c>
      <c r="B1278" s="106">
        <v>130</v>
      </c>
      <c r="C1278" s="87">
        <f t="shared" si="38"/>
        <v>7.7220460939102509E-3</v>
      </c>
      <c r="D1278" s="106">
        <v>56681.27</v>
      </c>
      <c r="E1278" s="87">
        <f t="shared" si="39"/>
        <v>-2.0092265476439053E-3</v>
      </c>
    </row>
    <row r="1279" spans="1:5" x14ac:dyDescent="0.2">
      <c r="A1279" s="105" t="s">
        <v>1786</v>
      </c>
      <c r="B1279" s="106">
        <v>139</v>
      </c>
      <c r="C1279" s="87">
        <f t="shared" si="38"/>
        <v>6.6939482675109296E-2</v>
      </c>
      <c r="D1279" s="106">
        <v>56923.360000000001</v>
      </c>
      <c r="E1279" s="87">
        <f t="shared" si="39"/>
        <v>4.2619806332382382E-3</v>
      </c>
    </row>
    <row r="1280" spans="1:5" x14ac:dyDescent="0.2">
      <c r="A1280" s="105" t="s">
        <v>1787</v>
      </c>
      <c r="B1280" s="106">
        <v>138</v>
      </c>
      <c r="C1280" s="87">
        <f t="shared" si="38"/>
        <v>-7.2202479734864156E-3</v>
      </c>
      <c r="D1280" s="106">
        <v>57351.22</v>
      </c>
      <c r="E1280" s="87">
        <f t="shared" si="39"/>
        <v>7.4883145376176685E-3</v>
      </c>
    </row>
    <row r="1281" spans="1:5" x14ac:dyDescent="0.2">
      <c r="A1281" s="105" t="s">
        <v>1788</v>
      </c>
      <c r="B1281" s="106">
        <v>139</v>
      </c>
      <c r="C1281" s="87">
        <f t="shared" si="38"/>
        <v>7.2202479734864156E-3</v>
      </c>
      <c r="D1281" s="106">
        <v>57336.45</v>
      </c>
      <c r="E1281" s="87">
        <f t="shared" si="39"/>
        <v>-2.5756910192065163E-4</v>
      </c>
    </row>
    <row r="1282" spans="1:5" x14ac:dyDescent="0.2">
      <c r="A1282" s="105" t="s">
        <v>1789</v>
      </c>
      <c r="B1282" s="106">
        <v>139</v>
      </c>
      <c r="C1282" s="87">
        <f t="shared" si="38"/>
        <v>0</v>
      </c>
      <c r="D1282" s="106">
        <v>58401.69</v>
      </c>
      <c r="E1282" s="87">
        <f t="shared" si="39"/>
        <v>1.8408280638656294E-2</v>
      </c>
    </row>
    <row r="1283" spans="1:5" x14ac:dyDescent="0.2">
      <c r="A1283" s="105" t="s">
        <v>1790</v>
      </c>
      <c r="B1283" s="106">
        <v>139</v>
      </c>
      <c r="C1283" s="87">
        <f t="shared" si="38"/>
        <v>0</v>
      </c>
      <c r="D1283" s="106">
        <v>58616.01</v>
      </c>
      <c r="E1283" s="87">
        <f t="shared" si="39"/>
        <v>3.6630396878916116E-3</v>
      </c>
    </row>
    <row r="1284" spans="1:5" x14ac:dyDescent="0.2">
      <c r="A1284" s="105" t="s">
        <v>1791</v>
      </c>
      <c r="B1284" s="106">
        <v>139</v>
      </c>
      <c r="C1284" s="87">
        <f t="shared" si="38"/>
        <v>0</v>
      </c>
      <c r="D1284" s="106">
        <v>59110.06</v>
      </c>
      <c r="E1284" s="87">
        <f t="shared" si="39"/>
        <v>8.3932624329055017E-3</v>
      </c>
    </row>
    <row r="1285" spans="1:5" x14ac:dyDescent="0.2">
      <c r="A1285" s="105" t="s">
        <v>1792</v>
      </c>
      <c r="B1285" s="106">
        <v>130</v>
      </c>
      <c r="C1285" s="87">
        <f t="shared" ref="C1285:C1348" si="40">LN(B1285)-LN(B1284)</f>
        <v>-6.6939482675109296E-2</v>
      </c>
      <c r="D1285" s="106">
        <v>59039.839999999997</v>
      </c>
      <c r="E1285" s="87">
        <f t="shared" ref="E1285:E1348" si="41">LN(D1285)-LN(D1284)</f>
        <v>-1.1886596309924613E-3</v>
      </c>
    </row>
    <row r="1286" spans="1:5" x14ac:dyDescent="0.2">
      <c r="A1286" s="105" t="s">
        <v>1793</v>
      </c>
      <c r="B1286" s="106">
        <v>118</v>
      </c>
      <c r="C1286" s="87">
        <f t="shared" si="40"/>
        <v>-9.6849825989917093E-2</v>
      </c>
      <c r="D1286" s="106">
        <v>58962.37</v>
      </c>
      <c r="E1286" s="87">
        <f t="shared" si="41"/>
        <v>-1.313026444675458E-3</v>
      </c>
    </row>
    <row r="1287" spans="1:5" x14ac:dyDescent="0.2">
      <c r="A1287" s="105" t="s">
        <v>1794</v>
      </c>
      <c r="B1287" s="106">
        <v>110</v>
      </c>
      <c r="C1287" s="87">
        <f t="shared" si="40"/>
        <v>-7.0204258673248532E-2</v>
      </c>
      <c r="D1287" s="106">
        <v>58671.25</v>
      </c>
      <c r="E1287" s="87">
        <f t="shared" si="41"/>
        <v>-4.9496154983259544E-3</v>
      </c>
    </row>
    <row r="1288" spans="1:5" x14ac:dyDescent="0.2">
      <c r="A1288" s="105" t="s">
        <v>1795</v>
      </c>
      <c r="B1288" s="106">
        <v>106</v>
      </c>
      <c r="C1288" s="87">
        <f t="shared" si="40"/>
        <v>-3.7041271680349652E-2</v>
      </c>
      <c r="D1288" s="106">
        <v>59275.02</v>
      </c>
      <c r="E1288" s="87">
        <f t="shared" si="41"/>
        <v>1.0238141043345195E-2</v>
      </c>
    </row>
    <row r="1289" spans="1:5" x14ac:dyDescent="0.2">
      <c r="A1289" s="105" t="s">
        <v>1796</v>
      </c>
      <c r="B1289" s="106">
        <v>104</v>
      </c>
      <c r="C1289" s="87">
        <f t="shared" si="40"/>
        <v>-1.9048194970694432E-2</v>
      </c>
      <c r="D1289" s="106">
        <v>58397.17</v>
      </c>
      <c r="E1289" s="87">
        <f t="shared" si="41"/>
        <v>-1.4920539605887129E-2</v>
      </c>
    </row>
    <row r="1290" spans="1:5" x14ac:dyDescent="0.2">
      <c r="A1290" s="105" t="s">
        <v>1797</v>
      </c>
      <c r="B1290" s="106">
        <v>104</v>
      </c>
      <c r="C1290" s="87">
        <f t="shared" si="40"/>
        <v>0</v>
      </c>
      <c r="D1290" s="106">
        <v>57596.09</v>
      </c>
      <c r="E1290" s="87">
        <f t="shared" si="41"/>
        <v>-1.3812746302583889E-2</v>
      </c>
    </row>
    <row r="1291" spans="1:5" x14ac:dyDescent="0.2">
      <c r="A1291" s="105" t="s">
        <v>1798</v>
      </c>
      <c r="B1291" s="106">
        <v>104</v>
      </c>
      <c r="C1291" s="87">
        <f t="shared" si="40"/>
        <v>0</v>
      </c>
      <c r="D1291" s="106">
        <v>59048.28</v>
      </c>
      <c r="E1291" s="87">
        <f t="shared" si="41"/>
        <v>2.4900730908081314E-2</v>
      </c>
    </row>
    <row r="1292" spans="1:5" x14ac:dyDescent="0.2">
      <c r="A1292" s="105" t="s">
        <v>1799</v>
      </c>
      <c r="B1292" s="106">
        <v>104</v>
      </c>
      <c r="C1292" s="87">
        <f t="shared" si="40"/>
        <v>0</v>
      </c>
      <c r="D1292" s="106">
        <v>57202.89</v>
      </c>
      <c r="E1292" s="87">
        <f t="shared" si="41"/>
        <v>-3.1750992776439446E-2</v>
      </c>
    </row>
    <row r="1293" spans="1:5" x14ac:dyDescent="0.2">
      <c r="A1293" s="105" t="s">
        <v>1800</v>
      </c>
      <c r="B1293" s="106">
        <v>107</v>
      </c>
      <c r="C1293" s="87">
        <f t="shared" si="40"/>
        <v>2.8437935320533292E-2</v>
      </c>
      <c r="D1293" s="106">
        <v>57169.88</v>
      </c>
      <c r="E1293" s="87">
        <f t="shared" si="41"/>
        <v>-5.7723531425502017E-4</v>
      </c>
    </row>
    <row r="1294" spans="1:5" x14ac:dyDescent="0.2">
      <c r="A1294" s="105" t="s">
        <v>1801</v>
      </c>
      <c r="B1294" s="106">
        <v>109</v>
      </c>
      <c r="C1294" s="87">
        <f t="shared" si="40"/>
        <v>1.8519047767237673E-2</v>
      </c>
      <c r="D1294" s="106">
        <v>56729.11</v>
      </c>
      <c r="E1294" s="87">
        <f t="shared" si="41"/>
        <v>-7.7397034036081891E-3</v>
      </c>
    </row>
    <row r="1295" spans="1:5" x14ac:dyDescent="0.2">
      <c r="A1295" s="105" t="s">
        <v>1802</v>
      </c>
      <c r="B1295" s="106">
        <v>106</v>
      </c>
      <c r="C1295" s="87">
        <f t="shared" si="40"/>
        <v>-2.7908788117076533E-2</v>
      </c>
      <c r="D1295" s="106">
        <v>56621.06</v>
      </c>
      <c r="E1295" s="87">
        <f t="shared" si="41"/>
        <v>-1.9064820586898179E-3</v>
      </c>
    </row>
    <row r="1296" spans="1:5" x14ac:dyDescent="0.2">
      <c r="A1296" s="105" t="s">
        <v>1803</v>
      </c>
      <c r="B1296" s="106">
        <v>106</v>
      </c>
      <c r="C1296" s="87">
        <f t="shared" si="40"/>
        <v>0</v>
      </c>
      <c r="D1296" s="106">
        <v>55531.27</v>
      </c>
      <c r="E1296" s="87">
        <f t="shared" si="41"/>
        <v>-1.9434715295977512E-2</v>
      </c>
    </row>
    <row r="1297" spans="1:5" x14ac:dyDescent="0.2">
      <c r="A1297" s="105" t="s">
        <v>1804</v>
      </c>
      <c r="B1297" s="106">
        <v>101</v>
      </c>
      <c r="C1297" s="87">
        <f t="shared" si="40"/>
        <v>-4.8318577270807239E-2</v>
      </c>
      <c r="D1297" s="106">
        <v>55609.32</v>
      </c>
      <c r="E1297" s="87">
        <f t="shared" si="41"/>
        <v>1.4045275957368375E-3</v>
      </c>
    </row>
    <row r="1298" spans="1:5" x14ac:dyDescent="0.2">
      <c r="A1298" s="105" t="s">
        <v>1805</v>
      </c>
      <c r="B1298" s="106">
        <v>106</v>
      </c>
      <c r="C1298" s="87">
        <f t="shared" si="40"/>
        <v>4.8318577270807239E-2</v>
      </c>
      <c r="D1298" s="106">
        <v>56191.17</v>
      </c>
      <c r="E1298" s="87">
        <f t="shared" si="41"/>
        <v>1.0408814009519318E-2</v>
      </c>
    </row>
    <row r="1299" spans="1:5" x14ac:dyDescent="0.2">
      <c r="A1299" s="105" t="s">
        <v>1806</v>
      </c>
      <c r="B1299" s="106">
        <v>104</v>
      </c>
      <c r="C1299" s="87">
        <f t="shared" si="40"/>
        <v>-1.9048194970694432E-2</v>
      </c>
      <c r="D1299" s="106">
        <v>56868.74</v>
      </c>
      <c r="E1299" s="87">
        <f t="shared" si="41"/>
        <v>1.1986178161665251E-2</v>
      </c>
    </row>
    <row r="1300" spans="1:5" x14ac:dyDescent="0.2">
      <c r="A1300" s="105" t="s">
        <v>1807</v>
      </c>
      <c r="B1300" s="106">
        <v>105</v>
      </c>
      <c r="C1300" s="87">
        <f t="shared" si="40"/>
        <v>9.5694510161505875E-3</v>
      </c>
      <c r="D1300" s="106">
        <v>57502.14</v>
      </c>
      <c r="E1300" s="87">
        <f t="shared" si="41"/>
        <v>1.1076359222709442E-2</v>
      </c>
    </row>
    <row r="1301" spans="1:5" x14ac:dyDescent="0.2">
      <c r="A1301" s="105" t="s">
        <v>1808</v>
      </c>
      <c r="B1301" s="106">
        <v>105</v>
      </c>
      <c r="C1301" s="87">
        <f t="shared" si="40"/>
        <v>0</v>
      </c>
      <c r="D1301" s="106">
        <v>57669.94</v>
      </c>
      <c r="E1301" s="87">
        <f t="shared" si="41"/>
        <v>2.9139027224314162E-3</v>
      </c>
    </row>
    <row r="1302" spans="1:5" x14ac:dyDescent="0.2">
      <c r="A1302" s="105" t="s">
        <v>1809</v>
      </c>
      <c r="B1302" s="106">
        <v>109</v>
      </c>
      <c r="C1302" s="87">
        <f t="shared" si="40"/>
        <v>3.7387532071620377E-2</v>
      </c>
      <c r="D1302" s="106">
        <v>57867.89</v>
      </c>
      <c r="E1302" s="87">
        <f t="shared" si="41"/>
        <v>3.426586663186626E-3</v>
      </c>
    </row>
    <row r="1303" spans="1:5" x14ac:dyDescent="0.2">
      <c r="A1303" s="105" t="s">
        <v>1810</v>
      </c>
      <c r="B1303" s="106">
        <v>107</v>
      </c>
      <c r="C1303" s="87">
        <f t="shared" si="40"/>
        <v>-1.8519047767237673E-2</v>
      </c>
      <c r="D1303" s="106">
        <v>58151.15</v>
      </c>
      <c r="E1303" s="87">
        <f t="shared" si="41"/>
        <v>4.8830013216853985E-3</v>
      </c>
    </row>
    <row r="1304" spans="1:5" x14ac:dyDescent="0.2">
      <c r="A1304" s="105" t="s">
        <v>1811</v>
      </c>
      <c r="B1304" s="106">
        <v>108</v>
      </c>
      <c r="C1304" s="87">
        <f t="shared" si="40"/>
        <v>9.3023926623141406E-3</v>
      </c>
      <c r="D1304" s="106">
        <v>57863.03</v>
      </c>
      <c r="E1304" s="87">
        <f t="shared" si="41"/>
        <v>-4.9669892482118172E-3</v>
      </c>
    </row>
    <row r="1305" spans="1:5" x14ac:dyDescent="0.2">
      <c r="A1305" s="105" t="s">
        <v>1812</v>
      </c>
      <c r="B1305" s="106">
        <v>110</v>
      </c>
      <c r="C1305" s="87">
        <f t="shared" si="40"/>
        <v>1.8349138668196652E-2</v>
      </c>
      <c r="D1305" s="106">
        <v>58026.68</v>
      </c>
      <c r="E1305" s="87">
        <f t="shared" si="41"/>
        <v>2.8242388177019961E-3</v>
      </c>
    </row>
    <row r="1306" spans="1:5" x14ac:dyDescent="0.2">
      <c r="A1306" s="105" t="s">
        <v>1813</v>
      </c>
      <c r="B1306" s="106">
        <v>112</v>
      </c>
      <c r="C1306" s="87">
        <f t="shared" si="40"/>
        <v>1.8018505502677584E-2</v>
      </c>
      <c r="D1306" s="106">
        <v>58447.3</v>
      </c>
      <c r="E1306" s="87">
        <f t="shared" si="41"/>
        <v>7.2225887446499826E-3</v>
      </c>
    </row>
    <row r="1307" spans="1:5" x14ac:dyDescent="0.2">
      <c r="A1307" s="105" t="s">
        <v>1814</v>
      </c>
      <c r="B1307" s="106">
        <v>113</v>
      </c>
      <c r="C1307" s="87">
        <f t="shared" si="40"/>
        <v>8.888947417246662E-3</v>
      </c>
      <c r="D1307" s="106">
        <v>58816.98</v>
      </c>
      <c r="E1307" s="87">
        <f t="shared" si="41"/>
        <v>6.3050952036594055E-3</v>
      </c>
    </row>
    <row r="1308" spans="1:5" x14ac:dyDescent="0.2">
      <c r="A1308" s="105" t="s">
        <v>1815</v>
      </c>
      <c r="B1308" s="106">
        <v>110</v>
      </c>
      <c r="C1308" s="87">
        <f t="shared" si="40"/>
        <v>-2.6907452919924246E-2</v>
      </c>
      <c r="D1308" s="106">
        <v>59141.35</v>
      </c>
      <c r="E1308" s="87">
        <f t="shared" si="41"/>
        <v>5.49975262635094E-3</v>
      </c>
    </row>
    <row r="1309" spans="1:5" x14ac:dyDescent="0.2">
      <c r="A1309" s="105" t="s">
        <v>1816</v>
      </c>
      <c r="B1309" s="106">
        <v>103</v>
      </c>
      <c r="C1309" s="87">
        <f t="shared" si="40"/>
        <v>-6.5751377562780711E-2</v>
      </c>
      <c r="D1309" s="106">
        <v>59191.71</v>
      </c>
      <c r="E1309" s="87">
        <f t="shared" si="41"/>
        <v>8.5115694701798361E-4</v>
      </c>
    </row>
    <row r="1310" spans="1:5" x14ac:dyDescent="0.2">
      <c r="A1310" s="105" t="s">
        <v>1817</v>
      </c>
      <c r="B1310" s="106">
        <v>105</v>
      </c>
      <c r="C1310" s="87">
        <f t="shared" si="40"/>
        <v>1.9231361927887214E-2</v>
      </c>
      <c r="D1310" s="106">
        <v>59492.22</v>
      </c>
      <c r="E1310" s="87">
        <f t="shared" si="41"/>
        <v>5.0640493991807034E-3</v>
      </c>
    </row>
    <row r="1311" spans="1:5" x14ac:dyDescent="0.2">
      <c r="A1311" s="105" t="s">
        <v>1818</v>
      </c>
      <c r="B1311" s="106">
        <v>105</v>
      </c>
      <c r="C1311" s="87">
        <f t="shared" si="40"/>
        <v>0</v>
      </c>
      <c r="D1311" s="106">
        <v>59517.7</v>
      </c>
      <c r="E1311" s="87">
        <f t="shared" si="41"/>
        <v>4.2819960536633062E-4</v>
      </c>
    </row>
    <row r="1312" spans="1:5" x14ac:dyDescent="0.2">
      <c r="A1312" s="105" t="s">
        <v>1819</v>
      </c>
      <c r="B1312" s="106">
        <v>109</v>
      </c>
      <c r="C1312" s="87">
        <f t="shared" si="40"/>
        <v>3.7387532071620377E-2</v>
      </c>
      <c r="D1312" s="106">
        <v>59326.13</v>
      </c>
      <c r="E1312" s="87">
        <f t="shared" si="41"/>
        <v>-3.2238975456078123E-3</v>
      </c>
    </row>
    <row r="1313" spans="1:5" x14ac:dyDescent="0.2">
      <c r="A1313" s="105" t="s">
        <v>1820</v>
      </c>
      <c r="B1313" s="106">
        <v>105</v>
      </c>
      <c r="C1313" s="87">
        <f t="shared" si="40"/>
        <v>-3.7387532071620377E-2</v>
      </c>
      <c r="D1313" s="106">
        <v>57783.02</v>
      </c>
      <c r="E1313" s="87">
        <f t="shared" si="41"/>
        <v>-2.6354888866773507E-2</v>
      </c>
    </row>
    <row r="1314" spans="1:5" x14ac:dyDescent="0.2">
      <c r="A1314" s="105" t="s">
        <v>1821</v>
      </c>
      <c r="B1314" s="106">
        <v>105</v>
      </c>
      <c r="C1314" s="87">
        <f t="shared" si="40"/>
        <v>0</v>
      </c>
      <c r="D1314" s="106">
        <v>58430.48</v>
      </c>
      <c r="E1314" s="87">
        <f t="shared" si="41"/>
        <v>1.1142710597976446E-2</v>
      </c>
    </row>
    <row r="1315" spans="1:5" x14ac:dyDescent="0.2">
      <c r="A1315" s="105" t="s">
        <v>1822</v>
      </c>
      <c r="B1315" s="106">
        <v>108</v>
      </c>
      <c r="C1315" s="87">
        <f t="shared" si="40"/>
        <v>2.8170876966696845E-2</v>
      </c>
      <c r="D1315" s="106">
        <v>58392.58</v>
      </c>
      <c r="E1315" s="87">
        <f t="shared" si="41"/>
        <v>-6.4884452315716601E-4</v>
      </c>
    </row>
    <row r="1316" spans="1:5" x14ac:dyDescent="0.2">
      <c r="A1316" s="105" t="s">
        <v>1823</v>
      </c>
      <c r="B1316" s="106">
        <v>111</v>
      </c>
      <c r="C1316" s="87">
        <f t="shared" si="40"/>
        <v>2.7398974188113989E-2</v>
      </c>
      <c r="D1316" s="106">
        <v>58101.72</v>
      </c>
      <c r="E1316" s="87">
        <f t="shared" si="41"/>
        <v>-4.9935594170360531E-3</v>
      </c>
    </row>
    <row r="1317" spans="1:5" x14ac:dyDescent="0.2">
      <c r="A1317" s="105" t="s">
        <v>1824</v>
      </c>
      <c r="B1317" s="106">
        <v>114</v>
      </c>
      <c r="C1317" s="87">
        <f t="shared" si="40"/>
        <v>2.6668247082161756E-2</v>
      </c>
      <c r="D1317" s="106">
        <v>57329.09</v>
      </c>
      <c r="E1317" s="87">
        <f t="shared" si="41"/>
        <v>-1.3387093772038838E-2</v>
      </c>
    </row>
    <row r="1318" spans="1:5" x14ac:dyDescent="0.2">
      <c r="A1318" s="105" t="s">
        <v>1825</v>
      </c>
      <c r="B1318" s="106">
        <v>114</v>
      </c>
      <c r="C1318" s="87">
        <f t="shared" si="40"/>
        <v>0</v>
      </c>
      <c r="D1318" s="106">
        <v>58012.97</v>
      </c>
      <c r="E1318" s="87">
        <f t="shared" si="41"/>
        <v>1.1858432458254242E-2</v>
      </c>
    </row>
    <row r="1319" spans="1:5" x14ac:dyDescent="0.2">
      <c r="A1319" s="105" t="s">
        <v>1826</v>
      </c>
      <c r="B1319" s="106">
        <v>103</v>
      </c>
      <c r="C1319" s="87">
        <f t="shared" si="40"/>
        <v>-0.1014694601648598</v>
      </c>
      <c r="D1319" s="106">
        <v>57986.45</v>
      </c>
      <c r="E1319" s="87">
        <f t="shared" si="41"/>
        <v>-4.5724367349642137E-4</v>
      </c>
    </row>
    <row r="1320" spans="1:5" x14ac:dyDescent="0.2">
      <c r="A1320" s="105" t="s">
        <v>1827</v>
      </c>
      <c r="B1320" s="106">
        <v>102</v>
      </c>
      <c r="C1320" s="87">
        <f t="shared" si="40"/>
        <v>-9.7561749453651814E-3</v>
      </c>
      <c r="D1320" s="106">
        <v>57418.58</v>
      </c>
      <c r="E1320" s="87">
        <f t="shared" si="41"/>
        <v>-9.8414182352861701E-3</v>
      </c>
    </row>
    <row r="1321" spans="1:5" x14ac:dyDescent="0.2">
      <c r="A1321" s="105" t="s">
        <v>1828</v>
      </c>
      <c r="B1321" s="106">
        <v>102</v>
      </c>
      <c r="C1321" s="87">
        <f t="shared" si="40"/>
        <v>0</v>
      </c>
      <c r="D1321" s="106">
        <v>56895.37</v>
      </c>
      <c r="E1321" s="87">
        <f t="shared" si="41"/>
        <v>-9.1539773324242901E-3</v>
      </c>
    </row>
    <row r="1322" spans="1:5" x14ac:dyDescent="0.2">
      <c r="A1322" s="105" t="s">
        <v>1829</v>
      </c>
      <c r="B1322" s="106">
        <v>98.5</v>
      </c>
      <c r="C1322" s="87">
        <f t="shared" si="40"/>
        <v>-3.4916265106227584E-2</v>
      </c>
      <c r="D1322" s="106">
        <v>56260.83</v>
      </c>
      <c r="E1322" s="87">
        <f t="shared" si="41"/>
        <v>-1.1215411109789741E-2</v>
      </c>
    </row>
    <row r="1323" spans="1:5" x14ac:dyDescent="0.2">
      <c r="A1323" s="105" t="s">
        <v>1830</v>
      </c>
      <c r="B1323" s="106">
        <v>101</v>
      </c>
      <c r="C1323" s="87">
        <f t="shared" si="40"/>
        <v>2.5063968663216585E-2</v>
      </c>
      <c r="D1323" s="106">
        <v>56247.95</v>
      </c>
      <c r="E1323" s="87">
        <f t="shared" si="41"/>
        <v>-2.2895990972848779E-4</v>
      </c>
    </row>
    <row r="1324" spans="1:5" x14ac:dyDescent="0.2">
      <c r="A1324" s="105" t="s">
        <v>1831</v>
      </c>
      <c r="B1324" s="106">
        <v>103</v>
      </c>
      <c r="C1324" s="87">
        <f t="shared" si="40"/>
        <v>1.9608471388376181E-2</v>
      </c>
      <c r="D1324" s="106">
        <v>55987.34</v>
      </c>
      <c r="E1324" s="87">
        <f t="shared" si="41"/>
        <v>-4.6440022273905868E-3</v>
      </c>
    </row>
    <row r="1325" spans="1:5" x14ac:dyDescent="0.2">
      <c r="A1325" s="105" t="s">
        <v>1832</v>
      </c>
      <c r="B1325" s="106">
        <v>104</v>
      </c>
      <c r="C1325" s="87">
        <f t="shared" si="40"/>
        <v>9.6619109117366264E-3</v>
      </c>
      <c r="D1325" s="106">
        <v>55523.06</v>
      </c>
      <c r="E1325" s="87">
        <f t="shared" si="41"/>
        <v>-8.3271637950463884E-3</v>
      </c>
    </row>
    <row r="1326" spans="1:5" x14ac:dyDescent="0.2">
      <c r="A1326" s="105" t="s">
        <v>1833</v>
      </c>
      <c r="B1326" s="106">
        <v>105</v>
      </c>
      <c r="C1326" s="87">
        <f t="shared" si="40"/>
        <v>9.5694510161505875E-3</v>
      </c>
      <c r="D1326" s="106">
        <v>55598.64</v>
      </c>
      <c r="E1326" s="87">
        <f t="shared" si="41"/>
        <v>1.3603105721866626E-3</v>
      </c>
    </row>
    <row r="1327" spans="1:5" x14ac:dyDescent="0.2">
      <c r="A1327" s="105" t="s">
        <v>445</v>
      </c>
      <c r="B1327" s="106">
        <v>105</v>
      </c>
      <c r="C1327" s="87">
        <f t="shared" si="40"/>
        <v>0</v>
      </c>
      <c r="D1327" s="106">
        <v>56847.98</v>
      </c>
      <c r="E1327" s="87">
        <f t="shared" si="41"/>
        <v>2.2221946937522219E-2</v>
      </c>
    </row>
    <row r="1328" spans="1:5" x14ac:dyDescent="0.2">
      <c r="A1328" s="105" t="s">
        <v>1834</v>
      </c>
      <c r="B1328" s="106">
        <v>103</v>
      </c>
      <c r="C1328" s="87">
        <f t="shared" si="40"/>
        <v>-1.9231361927887214E-2</v>
      </c>
      <c r="D1328" s="106">
        <v>57666.04</v>
      </c>
      <c r="E1328" s="87">
        <f t="shared" si="41"/>
        <v>1.4287751255356085E-2</v>
      </c>
    </row>
    <row r="1329" spans="1:5" x14ac:dyDescent="0.2">
      <c r="A1329" s="105" t="s">
        <v>1835</v>
      </c>
      <c r="B1329" s="106">
        <v>102</v>
      </c>
      <c r="C1329" s="87">
        <f t="shared" si="40"/>
        <v>-9.7561749453651814E-3</v>
      </c>
      <c r="D1329" s="106">
        <v>57085.05</v>
      </c>
      <c r="E1329" s="87">
        <f t="shared" si="41"/>
        <v>-1.0126177703856598E-2</v>
      </c>
    </row>
    <row r="1330" spans="1:5" x14ac:dyDescent="0.2">
      <c r="A1330" s="105" t="s">
        <v>1836</v>
      </c>
      <c r="B1330" s="106">
        <v>101</v>
      </c>
      <c r="C1330" s="87">
        <f t="shared" si="40"/>
        <v>-9.8522964430109994E-3</v>
      </c>
      <c r="D1330" s="106">
        <v>57485.19</v>
      </c>
      <c r="E1330" s="87">
        <f t="shared" si="41"/>
        <v>6.9850883955542287E-3</v>
      </c>
    </row>
    <row r="1331" spans="1:5" x14ac:dyDescent="0.2">
      <c r="A1331" s="105" t="s">
        <v>1837</v>
      </c>
      <c r="B1331" s="106">
        <v>105</v>
      </c>
      <c r="C1331" s="87">
        <f t="shared" si="40"/>
        <v>3.8839833316263395E-2</v>
      </c>
      <c r="D1331" s="106">
        <v>57886.6</v>
      </c>
      <c r="E1331" s="87">
        <f t="shared" si="41"/>
        <v>6.9585748777427625E-3</v>
      </c>
    </row>
    <row r="1332" spans="1:5" x14ac:dyDescent="0.2">
      <c r="A1332" s="105" t="s">
        <v>1838</v>
      </c>
      <c r="B1332" s="106">
        <v>107</v>
      </c>
      <c r="C1332" s="87">
        <f t="shared" si="40"/>
        <v>1.8868484304382704E-2</v>
      </c>
      <c r="D1332" s="106">
        <v>57949.46</v>
      </c>
      <c r="E1332" s="87">
        <f t="shared" si="41"/>
        <v>1.0853270763941936E-3</v>
      </c>
    </row>
    <row r="1333" spans="1:5" x14ac:dyDescent="0.2">
      <c r="A1333" s="105" t="s">
        <v>1839</v>
      </c>
      <c r="B1333" s="106">
        <v>106</v>
      </c>
      <c r="C1333" s="87">
        <f t="shared" si="40"/>
        <v>-9.3897403498388599E-3</v>
      </c>
      <c r="D1333" s="106">
        <v>57893.23</v>
      </c>
      <c r="E1333" s="87">
        <f t="shared" si="41"/>
        <v>-9.7079935585497878E-4</v>
      </c>
    </row>
    <row r="1334" spans="1:5" x14ac:dyDescent="0.2">
      <c r="A1334" s="105" t="s">
        <v>1840</v>
      </c>
      <c r="B1334" s="106">
        <v>108</v>
      </c>
      <c r="C1334" s="87">
        <f t="shared" si="40"/>
        <v>1.8692133012153E-2</v>
      </c>
      <c r="D1334" s="106">
        <v>56593.23</v>
      </c>
      <c r="E1334" s="87">
        <f t="shared" si="41"/>
        <v>-2.2711085260864294E-2</v>
      </c>
    </row>
    <row r="1335" spans="1:5" x14ac:dyDescent="0.2">
      <c r="A1335" s="105" t="s">
        <v>1841</v>
      </c>
      <c r="B1335" s="106">
        <v>108</v>
      </c>
      <c r="C1335" s="87">
        <f t="shared" si="40"/>
        <v>0</v>
      </c>
      <c r="D1335" s="106">
        <v>56358.3</v>
      </c>
      <c r="E1335" s="87">
        <f t="shared" si="41"/>
        <v>-4.1598434084910707E-3</v>
      </c>
    </row>
    <row r="1336" spans="1:5" x14ac:dyDescent="0.2">
      <c r="A1336" s="105" t="s">
        <v>1842</v>
      </c>
      <c r="B1336" s="106">
        <v>109</v>
      </c>
      <c r="C1336" s="87">
        <f t="shared" si="40"/>
        <v>9.2166551049235323E-3</v>
      </c>
      <c r="D1336" s="106">
        <v>56176.46</v>
      </c>
      <c r="E1336" s="87">
        <f t="shared" si="41"/>
        <v>-3.2317153964012135E-3</v>
      </c>
    </row>
    <row r="1337" spans="1:5" x14ac:dyDescent="0.2">
      <c r="A1337" s="105" t="s">
        <v>1843</v>
      </c>
      <c r="B1337" s="106">
        <v>111</v>
      </c>
      <c r="C1337" s="87">
        <f t="shared" si="40"/>
        <v>1.8182319083190457E-2</v>
      </c>
      <c r="D1337" s="106">
        <v>56237.4</v>
      </c>
      <c r="E1337" s="87">
        <f t="shared" si="41"/>
        <v>1.0842080499617879E-3</v>
      </c>
    </row>
    <row r="1338" spans="1:5" x14ac:dyDescent="0.2">
      <c r="A1338" s="105" t="s">
        <v>1844</v>
      </c>
      <c r="B1338" s="106">
        <v>110</v>
      </c>
      <c r="C1338" s="87">
        <f t="shared" si="40"/>
        <v>-9.0498355199173375E-3</v>
      </c>
      <c r="D1338" s="106">
        <v>56739.53</v>
      </c>
      <c r="E1338" s="87">
        <f t="shared" si="41"/>
        <v>8.8891299556586034E-3</v>
      </c>
    </row>
    <row r="1339" spans="1:5" x14ac:dyDescent="0.2">
      <c r="A1339" s="105" t="s">
        <v>1845</v>
      </c>
      <c r="B1339" s="106">
        <v>110</v>
      </c>
      <c r="C1339" s="87">
        <f t="shared" si="40"/>
        <v>0</v>
      </c>
      <c r="D1339" s="106">
        <v>55273.05</v>
      </c>
      <c r="E1339" s="87">
        <f t="shared" si="41"/>
        <v>-2.6185697981901512E-2</v>
      </c>
    </row>
    <row r="1340" spans="1:5" x14ac:dyDescent="0.2">
      <c r="A1340" s="105" t="s">
        <v>1846</v>
      </c>
      <c r="B1340" s="106">
        <v>117</v>
      </c>
      <c r="C1340" s="87">
        <f t="shared" si="40"/>
        <v>6.1693569005339732E-2</v>
      </c>
      <c r="D1340" s="106">
        <v>56121.78</v>
      </c>
      <c r="E1340" s="87">
        <f t="shared" si="41"/>
        <v>1.5238524512406926E-2</v>
      </c>
    </row>
    <row r="1341" spans="1:5" x14ac:dyDescent="0.2">
      <c r="A1341" s="105" t="s">
        <v>1847</v>
      </c>
      <c r="B1341" s="106">
        <v>119</v>
      </c>
      <c r="C1341" s="87">
        <f t="shared" si="40"/>
        <v>1.6949558313773316E-2</v>
      </c>
      <c r="D1341" s="106">
        <v>56204.55</v>
      </c>
      <c r="E1341" s="87">
        <f t="shared" si="41"/>
        <v>1.47374199763739E-3</v>
      </c>
    </row>
    <row r="1342" spans="1:5" x14ac:dyDescent="0.2">
      <c r="A1342" s="105" t="s">
        <v>1848</v>
      </c>
      <c r="B1342" s="106">
        <v>119</v>
      </c>
      <c r="C1342" s="87">
        <f t="shared" si="40"/>
        <v>0</v>
      </c>
      <c r="D1342" s="106">
        <v>55227.6</v>
      </c>
      <c r="E1342" s="87">
        <f t="shared" si="41"/>
        <v>-1.7534886151883811E-2</v>
      </c>
    </row>
    <row r="1343" spans="1:5" x14ac:dyDescent="0.2">
      <c r="A1343" s="105" t="s">
        <v>1849</v>
      </c>
      <c r="B1343" s="106">
        <v>116</v>
      </c>
      <c r="C1343" s="87">
        <f t="shared" si="40"/>
        <v>-2.5533302005165126E-2</v>
      </c>
      <c r="D1343" s="106">
        <v>55634.7</v>
      </c>
      <c r="E1343" s="87">
        <f t="shared" si="41"/>
        <v>7.3442789813977782E-3</v>
      </c>
    </row>
    <row r="1344" spans="1:5" x14ac:dyDescent="0.2">
      <c r="A1344" s="105" t="s">
        <v>1850</v>
      </c>
      <c r="B1344" s="106">
        <v>119</v>
      </c>
      <c r="C1344" s="87">
        <f t="shared" si="40"/>
        <v>2.5533302005165126E-2</v>
      </c>
      <c r="D1344" s="106">
        <v>56625.18</v>
      </c>
      <c r="E1344" s="87">
        <f t="shared" si="41"/>
        <v>1.7646655299994762E-2</v>
      </c>
    </row>
    <row r="1345" spans="1:5" x14ac:dyDescent="0.2">
      <c r="A1345" s="105" t="s">
        <v>1851</v>
      </c>
      <c r="B1345" s="106">
        <v>119</v>
      </c>
      <c r="C1345" s="87">
        <f t="shared" si="40"/>
        <v>0</v>
      </c>
      <c r="D1345" s="106">
        <v>59670.6</v>
      </c>
      <c r="E1345" s="87">
        <f t="shared" si="41"/>
        <v>5.2385674181515185E-2</v>
      </c>
    </row>
    <row r="1346" spans="1:5" x14ac:dyDescent="0.2">
      <c r="A1346" s="105" t="s">
        <v>1852</v>
      </c>
      <c r="B1346" s="106">
        <v>119</v>
      </c>
      <c r="C1346" s="87">
        <f t="shared" si="40"/>
        <v>0</v>
      </c>
      <c r="D1346" s="106">
        <v>59678.7</v>
      </c>
      <c r="E1346" s="87">
        <f t="shared" si="41"/>
        <v>1.3573602882388514E-4</v>
      </c>
    </row>
    <row r="1347" spans="1:5" x14ac:dyDescent="0.2">
      <c r="A1347" s="105" t="s">
        <v>1853</v>
      </c>
      <c r="B1347" s="106">
        <v>117</v>
      </c>
      <c r="C1347" s="87">
        <f t="shared" si="40"/>
        <v>-1.6949558313773316E-2</v>
      </c>
      <c r="D1347" s="106">
        <v>60146.67</v>
      </c>
      <c r="E1347" s="87">
        <f t="shared" si="41"/>
        <v>7.8109064757363456E-3</v>
      </c>
    </row>
    <row r="1348" spans="1:5" x14ac:dyDescent="0.2">
      <c r="A1348" s="105" t="s">
        <v>1854</v>
      </c>
      <c r="B1348" s="106">
        <v>119</v>
      </c>
      <c r="C1348" s="87">
        <f t="shared" si="40"/>
        <v>1.6949558313773316E-2</v>
      </c>
      <c r="D1348" s="106">
        <v>60776.71</v>
      </c>
      <c r="E1348" s="87">
        <f t="shared" si="41"/>
        <v>1.0420577083506188E-2</v>
      </c>
    </row>
    <row r="1349" spans="1:5" x14ac:dyDescent="0.2">
      <c r="A1349" s="105" t="s">
        <v>1855</v>
      </c>
      <c r="B1349" s="106">
        <v>119</v>
      </c>
      <c r="C1349" s="87">
        <f t="shared" ref="C1349:C1412" si="42">LN(B1349)-LN(B1348)</f>
        <v>0</v>
      </c>
      <c r="D1349" s="106">
        <v>60929.94</v>
      </c>
      <c r="E1349" s="87">
        <f t="shared" ref="E1349:E1412" si="43">LN(D1349)-LN(D1348)</f>
        <v>2.5180231476600312E-3</v>
      </c>
    </row>
    <row r="1350" spans="1:5" x14ac:dyDescent="0.2">
      <c r="A1350" s="105" t="s">
        <v>1856</v>
      </c>
      <c r="B1350" s="106">
        <v>120</v>
      </c>
      <c r="C1350" s="87">
        <f t="shared" si="42"/>
        <v>8.3682496705161924E-3</v>
      </c>
      <c r="D1350" s="106">
        <v>60902.04</v>
      </c>
      <c r="E1350" s="87">
        <f t="shared" si="43"/>
        <v>-4.5800783156835223E-4</v>
      </c>
    </row>
    <row r="1351" spans="1:5" x14ac:dyDescent="0.2">
      <c r="A1351" s="105" t="s">
        <v>1857</v>
      </c>
      <c r="B1351" s="106">
        <v>117</v>
      </c>
      <c r="C1351" s="87">
        <f t="shared" si="42"/>
        <v>-2.5317807984289509E-2</v>
      </c>
      <c r="D1351" s="106">
        <v>60192.6</v>
      </c>
      <c r="E1351" s="87">
        <f t="shared" si="43"/>
        <v>-1.1717250520755229E-2</v>
      </c>
    </row>
    <row r="1352" spans="1:5" x14ac:dyDescent="0.2">
      <c r="A1352" s="105" t="s">
        <v>1858</v>
      </c>
      <c r="B1352" s="106">
        <v>117</v>
      </c>
      <c r="C1352" s="87">
        <f t="shared" si="42"/>
        <v>0</v>
      </c>
      <c r="D1352" s="106">
        <v>59975.08</v>
      </c>
      <c r="E1352" s="87">
        <f t="shared" si="43"/>
        <v>-3.620278557022516E-3</v>
      </c>
    </row>
    <row r="1353" spans="1:5" x14ac:dyDescent="0.2">
      <c r="A1353" s="105" t="s">
        <v>1859</v>
      </c>
      <c r="B1353" s="106">
        <v>116</v>
      </c>
      <c r="C1353" s="87">
        <f t="shared" si="42"/>
        <v>-8.5837436913918097E-3</v>
      </c>
      <c r="D1353" s="106">
        <v>60372.23</v>
      </c>
      <c r="E1353" s="87">
        <f t="shared" si="43"/>
        <v>6.6000883890477979E-3</v>
      </c>
    </row>
    <row r="1354" spans="1:5" x14ac:dyDescent="0.2">
      <c r="A1354" s="105" t="s">
        <v>1860</v>
      </c>
      <c r="B1354" s="106">
        <v>112</v>
      </c>
      <c r="C1354" s="87">
        <f t="shared" si="42"/>
        <v>-3.5091319811270338E-2</v>
      </c>
      <c r="D1354" s="106">
        <v>60527.98</v>
      </c>
      <c r="E1354" s="87">
        <f t="shared" si="43"/>
        <v>2.5765064619935885E-3</v>
      </c>
    </row>
    <row r="1355" spans="1:5" x14ac:dyDescent="0.2">
      <c r="A1355" s="105" t="s">
        <v>1861</v>
      </c>
      <c r="B1355" s="106">
        <v>112</v>
      </c>
      <c r="C1355" s="87">
        <f t="shared" si="42"/>
        <v>0</v>
      </c>
      <c r="D1355" s="106">
        <v>60378</v>
      </c>
      <c r="E1355" s="87">
        <f t="shared" si="43"/>
        <v>-2.4809372857799161E-3</v>
      </c>
    </row>
    <row r="1356" spans="1:5" x14ac:dyDescent="0.2">
      <c r="A1356" s="105" t="s">
        <v>1862</v>
      </c>
      <c r="B1356" s="106">
        <v>110</v>
      </c>
      <c r="C1356" s="87">
        <f t="shared" si="42"/>
        <v>-1.8018505502677584E-2</v>
      </c>
      <c r="D1356" s="106">
        <v>60362.11</v>
      </c>
      <c r="E1356" s="87">
        <f t="shared" si="43"/>
        <v>-2.6320996546580488E-4</v>
      </c>
    </row>
    <row r="1357" spans="1:5" x14ac:dyDescent="0.2">
      <c r="A1357" s="105" t="s">
        <v>1863</v>
      </c>
      <c r="B1357" s="106">
        <v>110</v>
      </c>
      <c r="C1357" s="87">
        <f t="shared" si="42"/>
        <v>0</v>
      </c>
      <c r="D1357" s="106">
        <v>60242.61</v>
      </c>
      <c r="E1357" s="87">
        <f t="shared" si="43"/>
        <v>-1.9816809674928493E-3</v>
      </c>
    </row>
    <row r="1358" spans="1:5" x14ac:dyDescent="0.2">
      <c r="A1358" s="105" t="s">
        <v>1864</v>
      </c>
      <c r="B1358" s="106">
        <v>107</v>
      </c>
      <c r="C1358" s="87">
        <f t="shared" si="42"/>
        <v>-2.7651531330510792E-2</v>
      </c>
      <c r="D1358" s="106">
        <v>60199.83</v>
      </c>
      <c r="E1358" s="87">
        <f t="shared" si="43"/>
        <v>-7.1038085576979881E-4</v>
      </c>
    </row>
    <row r="1359" spans="1:5" x14ac:dyDescent="0.2">
      <c r="A1359" s="105" t="s">
        <v>1865</v>
      </c>
      <c r="B1359" s="106">
        <v>106</v>
      </c>
      <c r="C1359" s="87">
        <f t="shared" si="42"/>
        <v>-9.3897403498388599E-3</v>
      </c>
      <c r="D1359" s="106">
        <v>60582.98</v>
      </c>
      <c r="E1359" s="87">
        <f t="shared" si="43"/>
        <v>6.3444671509191863E-3</v>
      </c>
    </row>
    <row r="1360" spans="1:5" x14ac:dyDescent="0.2">
      <c r="A1360" s="105" t="s">
        <v>1866</v>
      </c>
      <c r="B1360" s="106">
        <v>110</v>
      </c>
      <c r="C1360" s="87">
        <f t="shared" si="42"/>
        <v>3.7041271680349652E-2</v>
      </c>
      <c r="D1360" s="106">
        <v>60628.11</v>
      </c>
      <c r="E1360" s="87">
        <f t="shared" si="43"/>
        <v>7.4465136953172362E-4</v>
      </c>
    </row>
    <row r="1361" spans="1:5" x14ac:dyDescent="0.2">
      <c r="A1361" s="105" t="s">
        <v>1867</v>
      </c>
      <c r="B1361" s="106">
        <v>107</v>
      </c>
      <c r="C1361" s="87">
        <f t="shared" si="42"/>
        <v>-2.7651531330510792E-2</v>
      </c>
      <c r="D1361" s="106">
        <v>60888.98</v>
      </c>
      <c r="E1361" s="87">
        <f t="shared" si="43"/>
        <v>4.2935590500690068E-3</v>
      </c>
    </row>
    <row r="1362" spans="1:5" x14ac:dyDescent="0.2">
      <c r="A1362" s="105" t="s">
        <v>1868</v>
      </c>
      <c r="B1362" s="106">
        <v>110</v>
      </c>
      <c r="C1362" s="87">
        <f t="shared" si="42"/>
        <v>2.7651531330510792E-2</v>
      </c>
      <c r="D1362" s="106">
        <v>60671.76</v>
      </c>
      <c r="E1362" s="87">
        <f t="shared" si="43"/>
        <v>-3.5738550325117302E-3</v>
      </c>
    </row>
    <row r="1363" spans="1:5" x14ac:dyDescent="0.2">
      <c r="A1363" s="105" t="s">
        <v>1869</v>
      </c>
      <c r="B1363" s="106">
        <v>111</v>
      </c>
      <c r="C1363" s="87">
        <f t="shared" si="42"/>
        <v>9.0498355199173375E-3</v>
      </c>
      <c r="D1363" s="106">
        <v>60538.16</v>
      </c>
      <c r="E1363" s="87">
        <f t="shared" si="43"/>
        <v>-2.2044409253485497E-3</v>
      </c>
    </row>
    <row r="1364" spans="1:5" x14ac:dyDescent="0.2">
      <c r="A1364" s="105" t="s">
        <v>448</v>
      </c>
      <c r="B1364" s="106">
        <v>102</v>
      </c>
      <c r="C1364" s="87">
        <f t="shared" si="42"/>
        <v>-8.455738802806323E-2</v>
      </c>
      <c r="D1364" s="106">
        <v>60323.79</v>
      </c>
      <c r="E1364" s="87">
        <f t="shared" si="43"/>
        <v>-3.5473567123140981E-3</v>
      </c>
    </row>
    <row r="1365" spans="1:5" x14ac:dyDescent="0.2">
      <c r="A1365" s="105" t="s">
        <v>1870</v>
      </c>
      <c r="B1365" s="106">
        <v>102</v>
      </c>
      <c r="C1365" s="87">
        <f t="shared" si="42"/>
        <v>0</v>
      </c>
      <c r="D1365" s="106">
        <v>60187.43</v>
      </c>
      <c r="E1365" s="87">
        <f t="shared" si="43"/>
        <v>-2.2630267653909186E-3</v>
      </c>
    </row>
    <row r="1366" spans="1:5" x14ac:dyDescent="0.2">
      <c r="A1366" s="105" t="s">
        <v>1871</v>
      </c>
      <c r="B1366" s="106">
        <v>98.5</v>
      </c>
      <c r="C1366" s="87">
        <f t="shared" si="42"/>
        <v>-3.4916265106227584E-2</v>
      </c>
      <c r="D1366" s="106">
        <v>60293.37</v>
      </c>
      <c r="E1366" s="87">
        <f t="shared" si="43"/>
        <v>1.758620913935971E-3</v>
      </c>
    </row>
    <row r="1367" spans="1:5" x14ac:dyDescent="0.2">
      <c r="A1367" s="105" t="s">
        <v>1872</v>
      </c>
      <c r="B1367" s="106">
        <v>104</v>
      </c>
      <c r="C1367" s="87">
        <f t="shared" si="42"/>
        <v>5.4334350963329392E-2</v>
      </c>
      <c r="D1367" s="106">
        <v>59852.7</v>
      </c>
      <c r="E1367" s="87">
        <f t="shared" si="43"/>
        <v>-7.3356036710272576E-3</v>
      </c>
    </row>
    <row r="1368" spans="1:5" x14ac:dyDescent="0.2">
      <c r="A1368" s="105" t="s">
        <v>1873</v>
      </c>
      <c r="B1368" s="106">
        <v>97</v>
      </c>
      <c r="C1368" s="87">
        <f t="shared" si="42"/>
        <v>-6.9679920637989667E-2</v>
      </c>
      <c r="D1368" s="106">
        <v>59480.639999999999</v>
      </c>
      <c r="E1368" s="87">
        <f t="shared" si="43"/>
        <v>-6.2356623150172652E-3</v>
      </c>
    </row>
    <row r="1369" spans="1:5" x14ac:dyDescent="0.2">
      <c r="A1369" s="105" t="s">
        <v>1874</v>
      </c>
      <c r="B1369" s="106">
        <v>95</v>
      </c>
      <c r="C1369" s="87">
        <f t="shared" si="42"/>
        <v>-2.0834086902842053E-2</v>
      </c>
      <c r="D1369" s="106">
        <v>60003.9</v>
      </c>
      <c r="E1369" s="87">
        <f t="shared" si="43"/>
        <v>8.7586786563242924E-3</v>
      </c>
    </row>
    <row r="1370" spans="1:5" x14ac:dyDescent="0.2">
      <c r="A1370" s="105" t="s">
        <v>1875</v>
      </c>
      <c r="B1370" s="106">
        <v>90</v>
      </c>
      <c r="C1370" s="87">
        <f t="shared" si="42"/>
        <v>-5.4067221270275745E-2</v>
      </c>
      <c r="D1370" s="106">
        <v>59738.559999999998</v>
      </c>
      <c r="E1370" s="87">
        <f t="shared" si="43"/>
        <v>-4.4318520648740645E-3</v>
      </c>
    </row>
    <row r="1371" spans="1:5" x14ac:dyDescent="0.2">
      <c r="A1371" s="105" t="s">
        <v>1876</v>
      </c>
      <c r="B1371" s="106">
        <v>90</v>
      </c>
      <c r="C1371" s="87">
        <f t="shared" si="42"/>
        <v>0</v>
      </c>
      <c r="D1371" s="106">
        <v>59936.46</v>
      </c>
      <c r="E1371" s="87">
        <f t="shared" si="43"/>
        <v>3.3072930405850798E-3</v>
      </c>
    </row>
    <row r="1372" spans="1:5" x14ac:dyDescent="0.2">
      <c r="A1372" s="105" t="s">
        <v>1877</v>
      </c>
      <c r="B1372" s="106">
        <v>95</v>
      </c>
      <c r="C1372" s="87">
        <f t="shared" si="42"/>
        <v>5.4067221270275745E-2</v>
      </c>
      <c r="D1372" s="106">
        <v>58857.01</v>
      </c>
      <c r="E1372" s="87">
        <f t="shared" si="43"/>
        <v>-1.8174058075290489E-2</v>
      </c>
    </row>
    <row r="1373" spans="1:5" x14ac:dyDescent="0.2">
      <c r="A1373" s="105" t="s">
        <v>1878</v>
      </c>
      <c r="B1373" s="106">
        <v>88</v>
      </c>
      <c r="C1373" s="87">
        <f t="shared" si="42"/>
        <v>-7.6540077122333905E-2</v>
      </c>
      <c r="D1373" s="106">
        <v>59092.01</v>
      </c>
      <c r="E1373" s="87">
        <f t="shared" si="43"/>
        <v>3.9847776768802134E-3</v>
      </c>
    </row>
    <row r="1374" spans="1:5" x14ac:dyDescent="0.2">
      <c r="A1374" s="105" t="s">
        <v>1879</v>
      </c>
      <c r="B1374" s="106">
        <v>88</v>
      </c>
      <c r="C1374" s="87">
        <f t="shared" si="42"/>
        <v>0</v>
      </c>
      <c r="D1374" s="106">
        <v>59374.38</v>
      </c>
      <c r="E1374" s="87">
        <f t="shared" si="43"/>
        <v>4.7670995080295597E-3</v>
      </c>
    </row>
    <row r="1375" spans="1:5" x14ac:dyDescent="0.2">
      <c r="A1375" s="105" t="s">
        <v>1880</v>
      </c>
      <c r="B1375" s="106">
        <v>87</v>
      </c>
      <c r="C1375" s="87">
        <f t="shared" si="42"/>
        <v>-1.1428695823623158E-2</v>
      </c>
      <c r="D1375" s="106">
        <v>58917.55</v>
      </c>
      <c r="E1375" s="87">
        <f t="shared" si="43"/>
        <v>-7.7238112709778761E-3</v>
      </c>
    </row>
    <row r="1376" spans="1:5" x14ac:dyDescent="0.2">
      <c r="A1376" s="105" t="s">
        <v>1881</v>
      </c>
      <c r="B1376" s="106">
        <v>87</v>
      </c>
      <c r="C1376" s="87">
        <f t="shared" si="42"/>
        <v>0</v>
      </c>
      <c r="D1376" s="106">
        <v>59200.36</v>
      </c>
      <c r="E1376" s="87">
        <f t="shared" si="43"/>
        <v>4.7886140285058332E-3</v>
      </c>
    </row>
    <row r="1377" spans="1:5" x14ac:dyDescent="0.2">
      <c r="A1377" s="105" t="s">
        <v>1882</v>
      </c>
      <c r="B1377" s="106">
        <v>85</v>
      </c>
      <c r="C1377" s="87">
        <f t="shared" si="42"/>
        <v>-2.3256862164267034E-2</v>
      </c>
      <c r="D1377" s="106">
        <v>58895.99</v>
      </c>
      <c r="E1377" s="87">
        <f t="shared" si="43"/>
        <v>-5.1546161067168583E-3</v>
      </c>
    </row>
    <row r="1378" spans="1:5" x14ac:dyDescent="0.2">
      <c r="A1378" s="105" t="s">
        <v>1883</v>
      </c>
      <c r="B1378" s="106">
        <v>85</v>
      </c>
      <c r="C1378" s="87">
        <f t="shared" si="42"/>
        <v>0</v>
      </c>
      <c r="D1378" s="106">
        <v>58852.53</v>
      </c>
      <c r="E1378" s="87">
        <f t="shared" si="43"/>
        <v>-7.3818340941400606E-4</v>
      </c>
    </row>
    <row r="1379" spans="1:5" x14ac:dyDescent="0.2">
      <c r="A1379" s="105" t="s">
        <v>1884</v>
      </c>
      <c r="B1379" s="106">
        <v>85</v>
      </c>
      <c r="C1379" s="87">
        <f t="shared" si="42"/>
        <v>0</v>
      </c>
      <c r="D1379" s="106">
        <v>58360.5</v>
      </c>
      <c r="E1379" s="87">
        <f t="shared" si="43"/>
        <v>-8.3955323065421084E-3</v>
      </c>
    </row>
    <row r="1380" spans="1:5" x14ac:dyDescent="0.2">
      <c r="A1380" s="105" t="s">
        <v>1885</v>
      </c>
      <c r="B1380" s="106">
        <v>84.5</v>
      </c>
      <c r="C1380" s="87">
        <f t="shared" si="42"/>
        <v>-5.8997221271885891E-3</v>
      </c>
      <c r="D1380" s="106">
        <v>57601.52</v>
      </c>
      <c r="E1380" s="87">
        <f t="shared" si="43"/>
        <v>-1.3090334887323252E-2</v>
      </c>
    </row>
    <row r="1381" spans="1:5" x14ac:dyDescent="0.2">
      <c r="A1381" s="105" t="s">
        <v>1886</v>
      </c>
      <c r="B1381" s="106">
        <v>84.5</v>
      </c>
      <c r="C1381" s="87">
        <f t="shared" si="42"/>
        <v>0</v>
      </c>
      <c r="D1381" s="106">
        <v>57781.8</v>
      </c>
      <c r="E1381" s="87">
        <f t="shared" si="43"/>
        <v>3.1248909582757278E-3</v>
      </c>
    </row>
    <row r="1382" spans="1:5" x14ac:dyDescent="0.2">
      <c r="A1382" s="105" t="s">
        <v>1887</v>
      </c>
      <c r="B1382" s="106">
        <v>80</v>
      </c>
      <c r="C1382" s="87">
        <f t="shared" si="42"/>
        <v>-5.4724899689246875E-2</v>
      </c>
      <c r="D1382" s="106">
        <v>57857.73</v>
      </c>
      <c r="E1382" s="87">
        <f t="shared" si="43"/>
        <v>1.3132189470521638E-3</v>
      </c>
    </row>
    <row r="1383" spans="1:5" x14ac:dyDescent="0.2">
      <c r="A1383" s="105" t="s">
        <v>1888</v>
      </c>
      <c r="B1383" s="106">
        <v>80</v>
      </c>
      <c r="C1383" s="87">
        <f t="shared" si="42"/>
        <v>0</v>
      </c>
      <c r="D1383" s="106">
        <v>57566.83</v>
      </c>
      <c r="E1383" s="87">
        <f t="shared" si="43"/>
        <v>-5.0405323772864108E-3</v>
      </c>
    </row>
    <row r="1384" spans="1:5" x14ac:dyDescent="0.2">
      <c r="A1384" s="105" t="s">
        <v>1889</v>
      </c>
      <c r="B1384" s="106">
        <v>80</v>
      </c>
      <c r="C1384" s="87">
        <f t="shared" si="42"/>
        <v>0</v>
      </c>
      <c r="D1384" s="106">
        <v>56870.63</v>
      </c>
      <c r="E1384" s="87">
        <f t="shared" si="43"/>
        <v>-1.2167494616289076E-2</v>
      </c>
    </row>
    <row r="1385" spans="1:5" x14ac:dyDescent="0.2">
      <c r="A1385" s="105" t="s">
        <v>1890</v>
      </c>
      <c r="B1385" s="106">
        <v>80</v>
      </c>
      <c r="C1385" s="87">
        <f t="shared" si="42"/>
        <v>0</v>
      </c>
      <c r="D1385" s="106">
        <v>56920.14</v>
      </c>
      <c r="E1385" s="87">
        <f t="shared" si="43"/>
        <v>8.7019365673057791E-4</v>
      </c>
    </row>
    <row r="1386" spans="1:5" x14ac:dyDescent="0.2">
      <c r="A1386" s="105" t="s">
        <v>1891</v>
      </c>
      <c r="B1386" s="106">
        <v>80</v>
      </c>
      <c r="C1386" s="87">
        <f t="shared" si="42"/>
        <v>0</v>
      </c>
      <c r="D1386" s="106">
        <v>56781.5</v>
      </c>
      <c r="E1386" s="87">
        <f t="shared" si="43"/>
        <v>-2.4386643624243476E-3</v>
      </c>
    </row>
    <row r="1387" spans="1:5" x14ac:dyDescent="0.2">
      <c r="A1387" s="105" t="s">
        <v>1892</v>
      </c>
      <c r="B1387" s="106">
        <v>80</v>
      </c>
      <c r="C1387" s="87">
        <f t="shared" si="42"/>
        <v>0</v>
      </c>
      <c r="D1387" s="106">
        <v>56753.79</v>
      </c>
      <c r="E1387" s="87">
        <f t="shared" si="43"/>
        <v>-4.8813017609283804E-4</v>
      </c>
    </row>
    <row r="1388" spans="1:5" x14ac:dyDescent="0.2">
      <c r="A1388" s="105" t="s">
        <v>1893</v>
      </c>
      <c r="B1388" s="106">
        <v>79.5</v>
      </c>
      <c r="C1388" s="87">
        <f t="shared" si="42"/>
        <v>-6.2696130135950767E-3</v>
      </c>
      <c r="D1388" s="106">
        <v>56351.13</v>
      </c>
      <c r="E1388" s="87">
        <f t="shared" si="43"/>
        <v>-7.1201447491109349E-3</v>
      </c>
    </row>
    <row r="1389" spans="1:5" x14ac:dyDescent="0.2">
      <c r="A1389" s="105" t="s">
        <v>1894</v>
      </c>
      <c r="B1389" s="106">
        <v>79.5</v>
      </c>
      <c r="C1389" s="87">
        <f t="shared" si="42"/>
        <v>0</v>
      </c>
      <c r="D1389" s="106">
        <v>56317.39</v>
      </c>
      <c r="E1389" s="87">
        <f t="shared" si="43"/>
        <v>-5.989250770070953E-4</v>
      </c>
    </row>
    <row r="1390" spans="1:5" x14ac:dyDescent="0.2">
      <c r="A1390" s="105" t="s">
        <v>1895</v>
      </c>
      <c r="B1390" s="106">
        <v>79.5</v>
      </c>
      <c r="C1390" s="87">
        <f t="shared" si="42"/>
        <v>0</v>
      </c>
      <c r="D1390" s="106">
        <v>56561.79</v>
      </c>
      <c r="E1390" s="87">
        <f t="shared" si="43"/>
        <v>4.3303004487711405E-3</v>
      </c>
    </row>
    <row r="1391" spans="1:5" x14ac:dyDescent="0.2">
      <c r="A1391" s="105" t="s">
        <v>1896</v>
      </c>
      <c r="B1391" s="106">
        <v>80</v>
      </c>
      <c r="C1391" s="87">
        <f t="shared" si="42"/>
        <v>6.2696130135950767E-3</v>
      </c>
      <c r="D1391" s="106">
        <v>56664.5</v>
      </c>
      <c r="E1391" s="87">
        <f t="shared" si="43"/>
        <v>1.8142434618741987E-3</v>
      </c>
    </row>
    <row r="1392" spans="1:5" x14ac:dyDescent="0.2">
      <c r="A1392" s="105" t="s">
        <v>1897</v>
      </c>
      <c r="B1392" s="106">
        <v>80</v>
      </c>
      <c r="C1392" s="87">
        <f t="shared" si="42"/>
        <v>0</v>
      </c>
      <c r="D1392" s="106">
        <v>56373.36</v>
      </c>
      <c r="E1392" s="87">
        <f t="shared" si="43"/>
        <v>-5.1512058664453519E-3</v>
      </c>
    </row>
    <row r="1393" spans="1:5" x14ac:dyDescent="0.2">
      <c r="A1393" s="105" t="s">
        <v>1898</v>
      </c>
      <c r="B1393" s="106">
        <v>80</v>
      </c>
      <c r="C1393" s="87">
        <f t="shared" si="42"/>
        <v>0</v>
      </c>
      <c r="D1393" s="106">
        <v>56209.08</v>
      </c>
      <c r="E1393" s="87">
        <f t="shared" si="43"/>
        <v>-2.9183968050112696E-3</v>
      </c>
    </row>
    <row r="1394" spans="1:5" x14ac:dyDescent="0.2">
      <c r="A1394" s="105" t="s">
        <v>1899</v>
      </c>
      <c r="B1394" s="106">
        <v>78.5</v>
      </c>
      <c r="C1394" s="87">
        <f t="shared" si="42"/>
        <v>-1.8928009885518016E-2</v>
      </c>
      <c r="D1394" s="106">
        <v>56389.14</v>
      </c>
      <c r="E1394" s="87">
        <f t="shared" si="43"/>
        <v>3.1982770861862519E-3</v>
      </c>
    </row>
    <row r="1395" spans="1:5" x14ac:dyDescent="0.2">
      <c r="A1395" s="105" t="s">
        <v>1900</v>
      </c>
      <c r="B1395" s="106">
        <v>80</v>
      </c>
      <c r="C1395" s="87">
        <f t="shared" si="42"/>
        <v>1.8928009885518016E-2</v>
      </c>
      <c r="D1395" s="106">
        <v>56913.26</v>
      </c>
      <c r="E1395" s="87">
        <f t="shared" si="43"/>
        <v>9.2517676326000498E-3</v>
      </c>
    </row>
    <row r="1396" spans="1:5" x14ac:dyDescent="0.2">
      <c r="A1396" s="105" t="s">
        <v>1901</v>
      </c>
      <c r="B1396" s="106">
        <v>76</v>
      </c>
      <c r="C1396" s="87">
        <f t="shared" si="42"/>
        <v>-5.1293294387550148E-2</v>
      </c>
      <c r="D1396" s="106">
        <v>56637.25</v>
      </c>
      <c r="E1396" s="87">
        <f t="shared" si="43"/>
        <v>-4.8614584574995234E-3</v>
      </c>
    </row>
    <row r="1397" spans="1:5" x14ac:dyDescent="0.2">
      <c r="A1397" s="105" t="s">
        <v>1902</v>
      </c>
      <c r="B1397" s="106">
        <v>74</v>
      </c>
      <c r="C1397" s="87">
        <f t="shared" si="42"/>
        <v>-2.6668247082160867E-2</v>
      </c>
      <c r="D1397" s="106">
        <v>57845.47</v>
      </c>
      <c r="E1397" s="87">
        <f t="shared" si="43"/>
        <v>2.1108248663036733E-2</v>
      </c>
    </row>
    <row r="1398" spans="1:5" x14ac:dyDescent="0.2">
      <c r="A1398" s="105" t="s">
        <v>1903</v>
      </c>
      <c r="B1398" s="106">
        <v>76</v>
      </c>
      <c r="C1398" s="87">
        <f t="shared" si="42"/>
        <v>2.6668247082160867E-2</v>
      </c>
      <c r="D1398" s="106">
        <v>59087.98</v>
      </c>
      <c r="E1398" s="87">
        <f t="shared" si="43"/>
        <v>2.1252375022033476E-2</v>
      </c>
    </row>
    <row r="1399" spans="1:5" x14ac:dyDescent="0.2">
      <c r="A1399" s="105" t="s">
        <v>1904</v>
      </c>
      <c r="B1399" s="106">
        <v>77.5</v>
      </c>
      <c r="C1399" s="87">
        <f t="shared" si="42"/>
        <v>1.9544596072970322E-2</v>
      </c>
      <c r="D1399" s="106">
        <v>60865.49</v>
      </c>
      <c r="E1399" s="87">
        <f t="shared" si="43"/>
        <v>2.9638827801001355E-2</v>
      </c>
    </row>
    <row r="1400" spans="1:5" x14ac:dyDescent="0.2">
      <c r="A1400" s="105" t="s">
        <v>1905</v>
      </c>
      <c r="B1400" s="106">
        <v>70</v>
      </c>
      <c r="C1400" s="87">
        <f t="shared" si="42"/>
        <v>-0.10178269430994202</v>
      </c>
      <c r="D1400" s="106">
        <v>60990.17</v>
      </c>
      <c r="E1400" s="87">
        <f t="shared" si="43"/>
        <v>2.0463562137180702E-3</v>
      </c>
    </row>
    <row r="1401" spans="1:5" x14ac:dyDescent="0.2">
      <c r="A1401" s="105" t="s">
        <v>1906</v>
      </c>
      <c r="B1401" s="106">
        <v>77.5</v>
      </c>
      <c r="C1401" s="87">
        <f t="shared" si="42"/>
        <v>0.10178269430994202</v>
      </c>
      <c r="D1401" s="106">
        <v>60680.62</v>
      </c>
      <c r="E1401" s="87">
        <f t="shared" si="43"/>
        <v>-5.0883316839271941E-3</v>
      </c>
    </row>
    <row r="1402" spans="1:5" x14ac:dyDescent="0.2">
      <c r="A1402" s="105" t="s">
        <v>1907</v>
      </c>
      <c r="B1402" s="106">
        <v>78</v>
      </c>
      <c r="C1402" s="87">
        <f t="shared" si="42"/>
        <v>6.4308903302903175E-3</v>
      </c>
      <c r="D1402" s="106">
        <v>60910.11</v>
      </c>
      <c r="E1402" s="87">
        <f t="shared" si="43"/>
        <v>3.7747988272176514E-3</v>
      </c>
    </row>
    <row r="1403" spans="1:5" x14ac:dyDescent="0.2">
      <c r="A1403" s="105" t="s">
        <v>1908</v>
      </c>
      <c r="B1403" s="106">
        <v>78</v>
      </c>
      <c r="C1403" s="87">
        <f t="shared" si="42"/>
        <v>0</v>
      </c>
      <c r="D1403" s="106">
        <v>61166</v>
      </c>
      <c r="E1403" s="87">
        <f t="shared" si="43"/>
        <v>4.1923087946003079E-3</v>
      </c>
    </row>
    <row r="1404" spans="1:5" x14ac:dyDescent="0.2">
      <c r="A1404" s="105" t="s">
        <v>1909</v>
      </c>
      <c r="B1404" s="106">
        <v>78.5</v>
      </c>
      <c r="C1404" s="87">
        <f t="shared" si="42"/>
        <v>6.3897980987714931E-3</v>
      </c>
      <c r="D1404" s="106">
        <v>61067.07</v>
      </c>
      <c r="E1404" s="87">
        <f t="shared" si="43"/>
        <v>-1.6187112309555829E-3</v>
      </c>
    </row>
    <row r="1405" spans="1:5" x14ac:dyDescent="0.2">
      <c r="A1405" s="105" t="s">
        <v>1910</v>
      </c>
      <c r="B1405" s="106">
        <v>66</v>
      </c>
      <c r="C1405" s="87">
        <f t="shared" si="42"/>
        <v>-0.17344388276193801</v>
      </c>
      <c r="D1405" s="106">
        <v>60812.06</v>
      </c>
      <c r="E1405" s="87">
        <f t="shared" si="43"/>
        <v>-4.184643788127218E-3</v>
      </c>
    </row>
    <row r="1406" spans="1:5" x14ac:dyDescent="0.2">
      <c r="A1406" s="105" t="s">
        <v>1911</v>
      </c>
      <c r="B1406" s="106">
        <v>80</v>
      </c>
      <c r="C1406" s="87">
        <f t="shared" si="42"/>
        <v>0.19237189264745602</v>
      </c>
      <c r="D1406" s="106">
        <v>60969.26</v>
      </c>
      <c r="E1406" s="87">
        <f t="shared" si="43"/>
        <v>2.5816781639793618E-3</v>
      </c>
    </row>
    <row r="1407" spans="1:5" x14ac:dyDescent="0.2">
      <c r="A1407" s="105" t="s">
        <v>1912</v>
      </c>
      <c r="B1407" s="106">
        <v>79</v>
      </c>
      <c r="C1407" s="87">
        <f t="shared" si="42"/>
        <v>-1.2578782206859707E-2</v>
      </c>
      <c r="D1407" s="106">
        <v>61168.92</v>
      </c>
      <c r="E1407" s="87">
        <f t="shared" si="43"/>
        <v>3.2694146555698467E-3</v>
      </c>
    </row>
    <row r="1408" spans="1:5" x14ac:dyDescent="0.2">
      <c r="A1408" s="105" t="s">
        <v>1913</v>
      </c>
      <c r="B1408" s="106">
        <v>80.5</v>
      </c>
      <c r="C1408" s="87">
        <f t="shared" si="42"/>
        <v>1.8809331957496234E-2</v>
      </c>
      <c r="D1408" s="106">
        <v>61556.46</v>
      </c>
      <c r="E1408" s="87">
        <f t="shared" si="43"/>
        <v>6.3155850588909601E-3</v>
      </c>
    </row>
    <row r="1409" spans="1:5" x14ac:dyDescent="0.2">
      <c r="A1409" s="105" t="s">
        <v>1914</v>
      </c>
      <c r="B1409" s="106">
        <v>74</v>
      </c>
      <c r="C1409" s="87">
        <f t="shared" si="42"/>
        <v>-8.4192091220347542E-2</v>
      </c>
      <c r="D1409" s="106">
        <v>61097.07</v>
      </c>
      <c r="E1409" s="87">
        <f t="shared" si="43"/>
        <v>-7.490891589689852E-3</v>
      </c>
    </row>
    <row r="1410" spans="1:5" x14ac:dyDescent="0.2">
      <c r="A1410" s="105" t="s">
        <v>1915</v>
      </c>
      <c r="B1410" s="106">
        <v>69.5</v>
      </c>
      <c r="C1410" s="87">
        <f t="shared" si="42"/>
        <v>-6.2738340633424095E-2</v>
      </c>
      <c r="D1410" s="106">
        <v>60922.1</v>
      </c>
      <c r="E1410" s="87">
        <f t="shared" si="43"/>
        <v>-2.8679119834400524E-3</v>
      </c>
    </row>
    <row r="1411" spans="1:5" x14ac:dyDescent="0.2">
      <c r="A1411" s="105" t="s">
        <v>1916</v>
      </c>
      <c r="B1411" s="106">
        <v>64</v>
      </c>
      <c r="C1411" s="87">
        <f t="shared" si="42"/>
        <v>-8.2443669211074599E-2</v>
      </c>
      <c r="D1411" s="106">
        <v>60755.88</v>
      </c>
      <c r="E1411" s="87">
        <f t="shared" si="43"/>
        <v>-2.7321312105321738E-3</v>
      </c>
    </row>
    <row r="1412" spans="1:5" x14ac:dyDescent="0.2">
      <c r="A1412" s="105" t="s">
        <v>1917</v>
      </c>
      <c r="B1412" s="106">
        <v>63</v>
      </c>
      <c r="C1412" s="87">
        <f t="shared" si="42"/>
        <v>-1.5748356968138921E-2</v>
      </c>
      <c r="D1412" s="106">
        <v>61533.27</v>
      </c>
      <c r="E1412" s="87">
        <f t="shared" si="43"/>
        <v>1.2714136487421257E-2</v>
      </c>
    </row>
    <row r="1413" spans="1:5" x14ac:dyDescent="0.2">
      <c r="A1413" s="105" t="s">
        <v>1918</v>
      </c>
      <c r="B1413" s="106">
        <v>63</v>
      </c>
      <c r="C1413" s="87">
        <f t="shared" ref="C1413:C1476" si="44">LN(B1413)-LN(B1412)</f>
        <v>0</v>
      </c>
      <c r="D1413" s="106">
        <v>61071.19</v>
      </c>
      <c r="E1413" s="87">
        <f t="shared" ref="E1413:E1476" si="45">LN(D1413)-LN(D1412)</f>
        <v>-7.5377712665520846E-3</v>
      </c>
    </row>
    <row r="1414" spans="1:5" x14ac:dyDescent="0.2">
      <c r="A1414" s="105" t="s">
        <v>451</v>
      </c>
      <c r="B1414" s="106">
        <v>61</v>
      </c>
      <c r="C1414" s="87">
        <f t="shared" si="44"/>
        <v>-3.226086221822122E-2</v>
      </c>
      <c r="D1414" s="106">
        <v>60342.05</v>
      </c>
      <c r="E1414" s="87">
        <f t="shared" si="45"/>
        <v>-1.2011025580813239E-2</v>
      </c>
    </row>
    <row r="1415" spans="1:5" x14ac:dyDescent="0.2">
      <c r="A1415" s="105" t="s">
        <v>1919</v>
      </c>
      <c r="B1415" s="106">
        <v>61</v>
      </c>
      <c r="C1415" s="87">
        <f t="shared" si="44"/>
        <v>0</v>
      </c>
      <c r="D1415" s="106">
        <v>59752.66</v>
      </c>
      <c r="E1415" s="87">
        <f t="shared" si="45"/>
        <v>-9.8154986511715947E-3</v>
      </c>
    </row>
    <row r="1416" spans="1:5" x14ac:dyDescent="0.2">
      <c r="A1416" s="105" t="s">
        <v>1920</v>
      </c>
      <c r="B1416" s="106">
        <v>61.5</v>
      </c>
      <c r="C1416" s="87">
        <f t="shared" si="44"/>
        <v>8.1633106391612031E-3</v>
      </c>
      <c r="D1416" s="106">
        <v>59848.76</v>
      </c>
      <c r="E1416" s="87">
        <f t="shared" si="45"/>
        <v>1.6070046773908331E-3</v>
      </c>
    </row>
    <row r="1417" spans="1:5" x14ac:dyDescent="0.2">
      <c r="A1417" s="105" t="s">
        <v>1921</v>
      </c>
      <c r="B1417" s="106">
        <v>59.5</v>
      </c>
      <c r="C1417" s="87">
        <f t="shared" si="44"/>
        <v>-3.3060862260888335E-2</v>
      </c>
      <c r="D1417" s="106">
        <v>60026.06</v>
      </c>
      <c r="E1417" s="87">
        <f t="shared" si="45"/>
        <v>2.9580879334858423E-3</v>
      </c>
    </row>
    <row r="1418" spans="1:5" x14ac:dyDescent="0.2">
      <c r="A1418" s="105" t="s">
        <v>1922</v>
      </c>
      <c r="B1418" s="106">
        <v>59</v>
      </c>
      <c r="C1418" s="87">
        <f t="shared" si="44"/>
        <v>-8.4388686458645168E-3</v>
      </c>
      <c r="D1418" s="106">
        <v>59759.16</v>
      </c>
      <c r="E1418" s="87">
        <f t="shared" si="45"/>
        <v>-4.4563167591409325E-3</v>
      </c>
    </row>
    <row r="1419" spans="1:5" x14ac:dyDescent="0.2">
      <c r="A1419" s="105" t="s">
        <v>1923</v>
      </c>
      <c r="B1419" s="106">
        <v>57.5</v>
      </c>
      <c r="C1419" s="87">
        <f t="shared" si="44"/>
        <v>-2.5752496102414923E-2</v>
      </c>
      <c r="D1419" s="106">
        <v>60097.1</v>
      </c>
      <c r="E1419" s="87">
        <f t="shared" si="45"/>
        <v>5.6391029642650636E-3</v>
      </c>
    </row>
    <row r="1420" spans="1:5" x14ac:dyDescent="0.2">
      <c r="A1420" s="105" t="s">
        <v>1924</v>
      </c>
      <c r="B1420" s="106">
        <v>55</v>
      </c>
      <c r="C1420" s="87">
        <f t="shared" si="44"/>
        <v>-4.4451762570833608E-2</v>
      </c>
      <c r="D1420" s="106">
        <v>60976.51</v>
      </c>
      <c r="E1420" s="87">
        <f t="shared" si="45"/>
        <v>1.4527120577859876E-2</v>
      </c>
    </row>
    <row r="1421" spans="1:5" x14ac:dyDescent="0.2">
      <c r="A1421" s="105" t="s">
        <v>1925</v>
      </c>
      <c r="B1421" s="106">
        <v>54</v>
      </c>
      <c r="C1421" s="87">
        <f t="shared" si="44"/>
        <v>-1.8349138668196652E-2</v>
      </c>
      <c r="D1421" s="106">
        <v>60788.38</v>
      </c>
      <c r="E1421" s="87">
        <f t="shared" si="45"/>
        <v>-3.0900557573829701E-3</v>
      </c>
    </row>
    <row r="1422" spans="1:5" x14ac:dyDescent="0.2">
      <c r="A1422" s="105" t="s">
        <v>1926</v>
      </c>
      <c r="B1422" s="106">
        <v>54</v>
      </c>
      <c r="C1422" s="87">
        <f t="shared" si="44"/>
        <v>0</v>
      </c>
      <c r="D1422" s="106">
        <v>60788.46</v>
      </c>
      <c r="E1422" s="87">
        <f t="shared" si="45"/>
        <v>1.3160401284295631E-6</v>
      </c>
    </row>
    <row r="1423" spans="1:5" x14ac:dyDescent="0.2">
      <c r="A1423" s="105" t="s">
        <v>1927</v>
      </c>
      <c r="B1423" s="106">
        <v>50.5</v>
      </c>
      <c r="C1423" s="87">
        <f t="shared" si="44"/>
        <v>-6.701071028296024E-2</v>
      </c>
      <c r="D1423" s="106">
        <v>60683.38</v>
      </c>
      <c r="E1423" s="87">
        <f t="shared" si="45"/>
        <v>-1.7301133532061641E-3</v>
      </c>
    </row>
    <row r="1424" spans="1:5" x14ac:dyDescent="0.2">
      <c r="A1424" s="105" t="s">
        <v>1928</v>
      </c>
      <c r="B1424" s="106">
        <v>48.2</v>
      </c>
      <c r="C1424" s="87">
        <f t="shared" si="44"/>
        <v>-4.6614315224759562E-2</v>
      </c>
      <c r="D1424" s="106">
        <v>60706.57</v>
      </c>
      <c r="E1424" s="87">
        <f t="shared" si="45"/>
        <v>3.8207446797855482E-4</v>
      </c>
    </row>
    <row r="1425" spans="1:5" x14ac:dyDescent="0.2">
      <c r="A1425" s="105" t="s">
        <v>1929</v>
      </c>
      <c r="B1425" s="106">
        <v>51</v>
      </c>
      <c r="C1425" s="87">
        <f t="shared" si="44"/>
        <v>5.6466611667771005E-2</v>
      </c>
      <c r="D1425" s="106">
        <v>60002.720000000001</v>
      </c>
      <c r="E1425" s="87">
        <f t="shared" si="45"/>
        <v>-1.1662034912607311E-2</v>
      </c>
    </row>
    <row r="1426" spans="1:5" x14ac:dyDescent="0.2">
      <c r="A1426" s="105" t="s">
        <v>1930</v>
      </c>
      <c r="B1426" s="106">
        <v>40</v>
      </c>
      <c r="C1426" s="87">
        <f t="shared" si="44"/>
        <v>-0.24294617861038947</v>
      </c>
      <c r="D1426" s="106">
        <v>59469.72</v>
      </c>
      <c r="E1426" s="87">
        <f t="shared" si="45"/>
        <v>-8.9226190767544011E-3</v>
      </c>
    </row>
    <row r="1427" spans="1:5" x14ac:dyDescent="0.2">
      <c r="A1427" s="105" t="s">
        <v>1931</v>
      </c>
      <c r="B1427" s="106">
        <v>40</v>
      </c>
      <c r="C1427" s="87">
        <f t="shared" si="44"/>
        <v>0</v>
      </c>
      <c r="D1427" s="106">
        <v>59888.03</v>
      </c>
      <c r="E1427" s="87">
        <f t="shared" si="45"/>
        <v>7.0093766458718676E-3</v>
      </c>
    </row>
    <row r="1428" spans="1:5" x14ac:dyDescent="0.2">
      <c r="A1428" s="105" t="s">
        <v>452</v>
      </c>
      <c r="B1428" s="106">
        <v>40</v>
      </c>
      <c r="C1428" s="87">
        <f t="shared" si="44"/>
        <v>0</v>
      </c>
      <c r="D1428" s="106">
        <v>60076.61</v>
      </c>
      <c r="E1428" s="87">
        <f t="shared" si="45"/>
        <v>3.1439289999379838E-3</v>
      </c>
    </row>
    <row r="1429" spans="1:5" x14ac:dyDescent="0.2">
      <c r="A1429" s="105" t="s">
        <v>1932</v>
      </c>
      <c r="B1429" s="106">
        <v>40</v>
      </c>
      <c r="C1429" s="87">
        <f t="shared" si="44"/>
        <v>0</v>
      </c>
      <c r="D1429" s="106">
        <v>59903.7</v>
      </c>
      <c r="E1429" s="87">
        <f t="shared" si="45"/>
        <v>-2.8823082671980416E-3</v>
      </c>
    </row>
    <row r="1430" spans="1:5" x14ac:dyDescent="0.2">
      <c r="A1430" s="105" t="s">
        <v>1933</v>
      </c>
      <c r="B1430" s="106">
        <v>43</v>
      </c>
      <c r="C1430" s="87">
        <f t="shared" si="44"/>
        <v>7.2320661579626133E-2</v>
      </c>
      <c r="D1430" s="106">
        <v>59969.56</v>
      </c>
      <c r="E1430" s="87">
        <f t="shared" si="45"/>
        <v>1.0988273219023625E-3</v>
      </c>
    </row>
    <row r="1431" spans="1:5" x14ac:dyDescent="0.2">
      <c r="A1431" s="105" t="s">
        <v>1934</v>
      </c>
      <c r="B1431" s="106">
        <v>43</v>
      </c>
      <c r="C1431" s="87">
        <f t="shared" si="44"/>
        <v>0</v>
      </c>
      <c r="D1431" s="106">
        <v>60564.73</v>
      </c>
      <c r="E1431" s="87">
        <f t="shared" si="45"/>
        <v>9.8756102868513551E-3</v>
      </c>
    </row>
    <row r="1432" spans="1:5" x14ac:dyDescent="0.2">
      <c r="A1432" s="105" t="s">
        <v>1935</v>
      </c>
      <c r="B1432" s="106">
        <v>43.4</v>
      </c>
      <c r="C1432" s="87">
        <f t="shared" si="44"/>
        <v>9.2593254127968372E-3</v>
      </c>
      <c r="D1432" s="106">
        <v>60721.87</v>
      </c>
      <c r="E1432" s="87">
        <f t="shared" si="45"/>
        <v>2.5912192760824126E-3</v>
      </c>
    </row>
    <row r="1433" spans="1:5" x14ac:dyDescent="0.2">
      <c r="A1433" s="105" t="s">
        <v>1936</v>
      </c>
      <c r="B1433" s="106">
        <v>43.6</v>
      </c>
      <c r="C1433" s="87">
        <f t="shared" si="44"/>
        <v>4.5977092486295668E-3</v>
      </c>
      <c r="D1433" s="106">
        <v>59348.4</v>
      </c>
      <c r="E1433" s="87">
        <f t="shared" si="45"/>
        <v>-2.2878767741779882E-2</v>
      </c>
    </row>
    <row r="1434" spans="1:5" x14ac:dyDescent="0.2">
      <c r="A1434" s="105" t="s">
        <v>1937</v>
      </c>
      <c r="B1434" s="106">
        <v>43.8</v>
      </c>
      <c r="C1434" s="87">
        <f t="shared" si="44"/>
        <v>4.5766670274116628E-3</v>
      </c>
      <c r="D1434" s="106">
        <v>59957.09</v>
      </c>
      <c r="E1434" s="87">
        <f t="shared" si="45"/>
        <v>1.020397772893844E-2</v>
      </c>
    </row>
    <row r="1435" spans="1:5" x14ac:dyDescent="0.2">
      <c r="A1435" s="105" t="s">
        <v>1938</v>
      </c>
      <c r="B1435" s="106">
        <v>45</v>
      </c>
      <c r="C1435" s="87">
        <f t="shared" si="44"/>
        <v>2.7028672387919173E-2</v>
      </c>
      <c r="D1435" s="106">
        <v>60221.65</v>
      </c>
      <c r="E1435" s="87">
        <f t="shared" si="45"/>
        <v>4.4027825115051655E-3</v>
      </c>
    </row>
    <row r="1436" spans="1:5" x14ac:dyDescent="0.2">
      <c r="A1436" s="105" t="s">
        <v>1939</v>
      </c>
      <c r="B1436" s="106">
        <v>44.6</v>
      </c>
      <c r="C1436" s="87">
        <f t="shared" si="44"/>
        <v>-8.9286307443012802E-3</v>
      </c>
      <c r="D1436" s="106">
        <v>61147.18</v>
      </c>
      <c r="E1436" s="87">
        <f t="shared" si="45"/>
        <v>1.5251822748602706E-2</v>
      </c>
    </row>
    <row r="1437" spans="1:5" x14ac:dyDescent="0.2">
      <c r="A1437" s="105" t="s">
        <v>453</v>
      </c>
      <c r="B1437" s="106">
        <v>45</v>
      </c>
      <c r="C1437" s="87">
        <f t="shared" si="44"/>
        <v>8.9286307443012802E-3</v>
      </c>
      <c r="D1437" s="106">
        <v>60660.31</v>
      </c>
      <c r="E1437" s="87">
        <f t="shared" si="45"/>
        <v>-7.994132262794551E-3</v>
      </c>
    </row>
    <row r="1438" spans="1:5" x14ac:dyDescent="0.2">
      <c r="A1438" s="105" t="s">
        <v>1940</v>
      </c>
      <c r="B1438" s="106">
        <v>44.2</v>
      </c>
      <c r="C1438" s="87">
        <f t="shared" si="44"/>
        <v>-1.7937700686667224E-2</v>
      </c>
      <c r="D1438" s="106">
        <v>59849.24</v>
      </c>
      <c r="E1438" s="87">
        <f t="shared" si="45"/>
        <v>-1.3460879188416541E-2</v>
      </c>
    </row>
    <row r="1439" spans="1:5" x14ac:dyDescent="0.2">
      <c r="A1439" s="105" t="s">
        <v>1941</v>
      </c>
      <c r="B1439" s="106">
        <v>44.2</v>
      </c>
      <c r="C1439" s="87">
        <f t="shared" si="44"/>
        <v>0</v>
      </c>
      <c r="D1439" s="106">
        <v>60228.41</v>
      </c>
      <c r="E1439" s="87">
        <f t="shared" si="45"/>
        <v>6.3154343919347156E-3</v>
      </c>
    </row>
    <row r="1440" spans="1:5" x14ac:dyDescent="0.2">
      <c r="A1440" s="105" t="s">
        <v>1942</v>
      </c>
      <c r="B1440" s="106">
        <v>43.2</v>
      </c>
      <c r="C1440" s="87">
        <f t="shared" si="44"/>
        <v>-2.2884293833587588E-2</v>
      </c>
      <c r="D1440" s="106">
        <v>60661.36</v>
      </c>
      <c r="E1440" s="87">
        <f t="shared" si="45"/>
        <v>7.1627541526755323E-3</v>
      </c>
    </row>
    <row r="1441" spans="1:5" x14ac:dyDescent="0.2">
      <c r="A1441" s="105" t="s">
        <v>1943</v>
      </c>
      <c r="B1441" s="106">
        <v>41.2</v>
      </c>
      <c r="C1441" s="87">
        <f t="shared" si="44"/>
        <v>-4.7402238894584059E-2</v>
      </c>
      <c r="D1441" s="106">
        <v>60791.02</v>
      </c>
      <c r="E1441" s="87">
        <f t="shared" si="45"/>
        <v>2.1351586401010536E-3</v>
      </c>
    </row>
    <row r="1442" spans="1:5" x14ac:dyDescent="0.2">
      <c r="A1442" s="105" t="s">
        <v>1944</v>
      </c>
      <c r="B1442" s="106">
        <v>41.4</v>
      </c>
      <c r="C1442" s="87">
        <f t="shared" si="44"/>
        <v>4.8426244757879822E-3</v>
      </c>
      <c r="D1442" s="106">
        <v>60788.89</v>
      </c>
      <c r="E1442" s="87">
        <f t="shared" si="45"/>
        <v>-3.5038683614985189E-5</v>
      </c>
    </row>
    <row r="1443" spans="1:5" x14ac:dyDescent="0.2">
      <c r="A1443" s="105" t="s">
        <v>1945</v>
      </c>
      <c r="B1443" s="106">
        <v>41.2</v>
      </c>
      <c r="C1443" s="87">
        <f t="shared" si="44"/>
        <v>-4.8426244757879822E-3</v>
      </c>
      <c r="D1443" s="106">
        <v>59734.92</v>
      </c>
      <c r="E1443" s="87">
        <f t="shared" si="45"/>
        <v>-1.7490267991810526E-2</v>
      </c>
    </row>
    <row r="1444" spans="1:5" x14ac:dyDescent="0.2">
      <c r="A1444" s="105" t="s">
        <v>1946</v>
      </c>
      <c r="B1444" s="106">
        <v>41.2</v>
      </c>
      <c r="C1444" s="87">
        <f t="shared" si="44"/>
        <v>0</v>
      </c>
      <c r="D1444" s="106">
        <v>59439.56</v>
      </c>
      <c r="E1444" s="87">
        <f t="shared" si="45"/>
        <v>-4.9567760604496414E-3</v>
      </c>
    </row>
    <row r="1445" spans="1:5" x14ac:dyDescent="0.2">
      <c r="A1445" s="105" t="s">
        <v>1947</v>
      </c>
      <c r="B1445" s="106">
        <v>43.2</v>
      </c>
      <c r="C1445" s="87">
        <f t="shared" si="44"/>
        <v>4.7402238894584059E-2</v>
      </c>
      <c r="D1445" s="106">
        <v>58780.55</v>
      </c>
      <c r="E1445" s="87">
        <f t="shared" si="45"/>
        <v>-1.1148980088375282E-2</v>
      </c>
    </row>
    <row r="1446" spans="1:5" x14ac:dyDescent="0.2">
      <c r="A1446" s="105" t="s">
        <v>1948</v>
      </c>
      <c r="B1446" s="106">
        <v>43.2</v>
      </c>
      <c r="C1446" s="87">
        <f t="shared" si="44"/>
        <v>0</v>
      </c>
      <c r="D1446" s="106">
        <v>58952.55</v>
      </c>
      <c r="E1446" s="87">
        <f t="shared" si="45"/>
        <v>2.9218651741604873E-3</v>
      </c>
    </row>
    <row r="1447" spans="1:5" x14ac:dyDescent="0.2">
      <c r="A1447" s="105" t="s">
        <v>1949</v>
      </c>
      <c r="B1447" s="106">
        <v>43.2</v>
      </c>
      <c r="C1447" s="87">
        <f t="shared" si="44"/>
        <v>0</v>
      </c>
      <c r="D1447" s="106">
        <v>58036.04</v>
      </c>
      <c r="E1447" s="87">
        <f t="shared" si="45"/>
        <v>-1.5668686164701739E-2</v>
      </c>
    </row>
    <row r="1448" spans="1:5" x14ac:dyDescent="0.2">
      <c r="A1448" s="105" t="s">
        <v>1950</v>
      </c>
      <c r="B1448" s="106">
        <v>42</v>
      </c>
      <c r="C1448" s="87">
        <f t="shared" si="44"/>
        <v>-2.8170876966696401E-2</v>
      </c>
      <c r="D1448" s="106">
        <v>56961.82</v>
      </c>
      <c r="E1448" s="87">
        <f t="shared" si="45"/>
        <v>-1.8682978040128972E-2</v>
      </c>
    </row>
    <row r="1449" spans="1:5" x14ac:dyDescent="0.2">
      <c r="A1449" s="105" t="s">
        <v>1951</v>
      </c>
      <c r="B1449" s="106">
        <v>44.6</v>
      </c>
      <c r="C1449" s="87">
        <f t="shared" si="44"/>
        <v>6.0064240742649933E-2</v>
      </c>
      <c r="D1449" s="106">
        <v>58180.45</v>
      </c>
      <c r="E1449" s="87">
        <f t="shared" si="45"/>
        <v>2.1168168813401778E-2</v>
      </c>
    </row>
    <row r="1450" spans="1:5" x14ac:dyDescent="0.2">
      <c r="A1450" s="105" t="s">
        <v>1952</v>
      </c>
      <c r="B1450" s="106">
        <v>44.6</v>
      </c>
      <c r="C1450" s="87">
        <f t="shared" si="44"/>
        <v>0</v>
      </c>
      <c r="D1450" s="106">
        <v>58409.09</v>
      </c>
      <c r="E1450" s="87">
        <f t="shared" si="45"/>
        <v>3.9221407529517194E-3</v>
      </c>
    </row>
    <row r="1451" spans="1:5" x14ac:dyDescent="0.2">
      <c r="A1451" s="105" t="s">
        <v>1953</v>
      </c>
      <c r="B1451" s="106">
        <v>43</v>
      </c>
      <c r="C1451" s="87">
        <f t="shared" si="44"/>
        <v>-3.6533743332455959E-2</v>
      </c>
      <c r="D1451" s="106">
        <v>59707.73</v>
      </c>
      <c r="E1451" s="87">
        <f t="shared" si="45"/>
        <v>2.1989964346865065E-2</v>
      </c>
    </row>
    <row r="1452" spans="1:5" x14ac:dyDescent="0.2">
      <c r="A1452" s="105" t="s">
        <v>1954</v>
      </c>
      <c r="B1452" s="106">
        <v>44.4</v>
      </c>
      <c r="C1452" s="87">
        <f t="shared" si="44"/>
        <v>3.2039353744616861E-2</v>
      </c>
      <c r="D1452" s="106">
        <v>59176.6</v>
      </c>
      <c r="E1452" s="87">
        <f t="shared" si="45"/>
        <v>-8.9352992738618298E-3</v>
      </c>
    </row>
    <row r="1453" spans="1:5" x14ac:dyDescent="0.2">
      <c r="A1453" s="105" t="s">
        <v>1955</v>
      </c>
      <c r="B1453" s="106">
        <v>44.8</v>
      </c>
      <c r="C1453" s="87">
        <f t="shared" si="44"/>
        <v>8.9686699827602467E-3</v>
      </c>
      <c r="D1453" s="106">
        <v>58203.39</v>
      </c>
      <c r="E1453" s="87">
        <f t="shared" si="45"/>
        <v>-1.6582593016048364E-2</v>
      </c>
    </row>
    <row r="1454" spans="1:5" x14ac:dyDescent="0.2">
      <c r="A1454" s="105" t="s">
        <v>1956</v>
      </c>
      <c r="B1454" s="106">
        <v>42.8</v>
      </c>
      <c r="C1454" s="87">
        <f t="shared" si="44"/>
        <v>-4.5670036833188377E-2</v>
      </c>
      <c r="D1454" s="106">
        <v>58412.94</v>
      </c>
      <c r="E1454" s="87">
        <f t="shared" si="45"/>
        <v>3.5938401686994581E-3</v>
      </c>
    </row>
    <row r="1455" spans="1:5" x14ac:dyDescent="0.2">
      <c r="A1455" s="105" t="s">
        <v>1957</v>
      </c>
      <c r="B1455" s="106">
        <v>44.8</v>
      </c>
      <c r="C1455" s="87">
        <f t="shared" si="44"/>
        <v>4.5670036833188377E-2</v>
      </c>
      <c r="D1455" s="106">
        <v>56472.160000000003</v>
      </c>
      <c r="E1455" s="87">
        <f t="shared" si="45"/>
        <v>-3.3789667280796465E-2</v>
      </c>
    </row>
    <row r="1456" spans="1:5" x14ac:dyDescent="0.2">
      <c r="A1456" s="105" t="s">
        <v>1958</v>
      </c>
      <c r="B1456" s="106">
        <v>44.4</v>
      </c>
      <c r="C1456" s="87">
        <f t="shared" si="44"/>
        <v>-8.9686699827602467E-3</v>
      </c>
      <c r="D1456" s="106">
        <v>56932.62</v>
      </c>
      <c r="E1456" s="87">
        <f t="shared" si="45"/>
        <v>8.1206899822028333E-3</v>
      </c>
    </row>
    <row r="1457" spans="1:5" x14ac:dyDescent="0.2">
      <c r="A1457" s="105" t="s">
        <v>1959</v>
      </c>
      <c r="B1457" s="106">
        <v>44.4</v>
      </c>
      <c r="C1457" s="87">
        <f t="shared" si="44"/>
        <v>0</v>
      </c>
      <c r="D1457" s="106">
        <v>56451.9</v>
      </c>
      <c r="E1457" s="87">
        <f t="shared" si="45"/>
        <v>-8.4795152000953777E-3</v>
      </c>
    </row>
    <row r="1458" spans="1:5" x14ac:dyDescent="0.2">
      <c r="A1458" s="105" t="s">
        <v>1960</v>
      </c>
      <c r="B1458" s="106">
        <v>42.4</v>
      </c>
      <c r="C1458" s="87">
        <f t="shared" si="44"/>
        <v>-4.609110720026699E-2</v>
      </c>
      <c r="D1458" s="106">
        <v>55205.54</v>
      </c>
      <c r="E1458" s="87">
        <f t="shared" si="45"/>
        <v>-2.232563756783712E-2</v>
      </c>
    </row>
    <row r="1459" spans="1:5" x14ac:dyDescent="0.2">
      <c r="A1459" s="105" t="s">
        <v>1961</v>
      </c>
      <c r="B1459" s="106">
        <v>45.4</v>
      </c>
      <c r="C1459" s="87">
        <f t="shared" si="44"/>
        <v>6.8363742809390171E-2</v>
      </c>
      <c r="D1459" s="106">
        <v>55911.21</v>
      </c>
      <c r="E1459" s="87">
        <f t="shared" si="45"/>
        <v>1.2701586162961576E-2</v>
      </c>
    </row>
    <row r="1460" spans="1:5" x14ac:dyDescent="0.2">
      <c r="A1460" s="105" t="s">
        <v>1962</v>
      </c>
      <c r="B1460" s="106">
        <v>45.6</v>
      </c>
      <c r="C1460" s="87">
        <f t="shared" si="44"/>
        <v>4.3956114730381302E-3</v>
      </c>
      <c r="D1460" s="106">
        <v>55442.1</v>
      </c>
      <c r="E1460" s="87">
        <f t="shared" si="45"/>
        <v>-8.4256637767481379E-3</v>
      </c>
    </row>
    <row r="1461" spans="1:5" x14ac:dyDescent="0.2">
      <c r="A1461" s="105" t="s">
        <v>1963</v>
      </c>
      <c r="B1461" s="106">
        <v>45</v>
      </c>
      <c r="C1461" s="87">
        <f t="shared" si="44"/>
        <v>-1.3245226750020933E-2</v>
      </c>
      <c r="D1461" s="106">
        <v>56924.39</v>
      </c>
      <c r="E1461" s="87">
        <f t="shared" si="45"/>
        <v>2.6384663086050253E-2</v>
      </c>
    </row>
    <row r="1462" spans="1:5" x14ac:dyDescent="0.2">
      <c r="A1462" s="105" t="s">
        <v>1964</v>
      </c>
      <c r="B1462" s="106">
        <v>44.8</v>
      </c>
      <c r="C1462" s="87">
        <f t="shared" si="44"/>
        <v>-4.4543503493801317E-3</v>
      </c>
      <c r="D1462" s="106">
        <v>57655.73</v>
      </c>
      <c r="E1462" s="87">
        <f t="shared" si="45"/>
        <v>1.2765738625846623E-2</v>
      </c>
    </row>
    <row r="1463" spans="1:5" x14ac:dyDescent="0.2">
      <c r="A1463" s="105" t="s">
        <v>1965</v>
      </c>
      <c r="B1463" s="106">
        <v>43.4</v>
      </c>
      <c r="C1463" s="87">
        <f t="shared" si="44"/>
        <v>-3.174869831458027E-2</v>
      </c>
      <c r="D1463" s="106">
        <v>57818.43</v>
      </c>
      <c r="E1463" s="87">
        <f t="shared" si="45"/>
        <v>2.8179483213293111E-3</v>
      </c>
    </row>
    <row r="1464" spans="1:5" x14ac:dyDescent="0.2">
      <c r="A1464" s="105" t="s">
        <v>1966</v>
      </c>
      <c r="B1464" s="106">
        <v>45.4</v>
      </c>
      <c r="C1464" s="87">
        <f t="shared" si="44"/>
        <v>4.5052663940943205E-2</v>
      </c>
      <c r="D1464" s="106">
        <v>56926.12</v>
      </c>
      <c r="E1464" s="87">
        <f t="shared" si="45"/>
        <v>-1.5553296218136836E-2</v>
      </c>
    </row>
    <row r="1465" spans="1:5" x14ac:dyDescent="0.2">
      <c r="A1465" s="105" t="s">
        <v>1967</v>
      </c>
      <c r="B1465" s="106">
        <v>44.2</v>
      </c>
      <c r="C1465" s="87">
        <f t="shared" si="44"/>
        <v>-2.6787315963650027E-2</v>
      </c>
      <c r="D1465" s="106">
        <v>57000.37</v>
      </c>
      <c r="E1465" s="87">
        <f t="shared" si="45"/>
        <v>1.3034722743192617E-3</v>
      </c>
    </row>
    <row r="1466" spans="1:5" x14ac:dyDescent="0.2">
      <c r="A1466" s="105" t="s">
        <v>1968</v>
      </c>
      <c r="B1466" s="106">
        <v>39</v>
      </c>
      <c r="C1466" s="87">
        <f t="shared" si="44"/>
        <v>-0.1251631429540061</v>
      </c>
      <c r="D1466" s="106">
        <v>56321.58</v>
      </c>
      <c r="E1466" s="87">
        <f t="shared" si="45"/>
        <v>-1.1979993607997841E-2</v>
      </c>
    </row>
    <row r="1467" spans="1:5" x14ac:dyDescent="0.2">
      <c r="A1467" s="105" t="s">
        <v>1969</v>
      </c>
      <c r="B1467" s="106">
        <v>39.799999999999997</v>
      </c>
      <c r="C1467" s="87">
        <f t="shared" si="44"/>
        <v>2.0305266160745461E-2</v>
      </c>
      <c r="D1467" s="106">
        <v>55312.71</v>
      </c>
      <c r="E1467" s="87">
        <f t="shared" si="45"/>
        <v>-1.8075046062444144E-2</v>
      </c>
    </row>
    <row r="1468" spans="1:5" x14ac:dyDescent="0.2">
      <c r="A1468" s="105" t="s">
        <v>1970</v>
      </c>
      <c r="B1468" s="106">
        <v>40.4</v>
      </c>
      <c r="C1468" s="87">
        <f t="shared" si="44"/>
        <v>1.4962872676712813E-2</v>
      </c>
      <c r="D1468" s="106">
        <v>54608.78</v>
      </c>
      <c r="E1468" s="87">
        <f t="shared" si="45"/>
        <v>-1.2808043687321913E-2</v>
      </c>
    </row>
    <row r="1469" spans="1:5" x14ac:dyDescent="0.2">
      <c r="A1469" s="105" t="s">
        <v>1971</v>
      </c>
      <c r="B1469" s="106">
        <v>40.200000000000003</v>
      </c>
      <c r="C1469" s="87">
        <f t="shared" si="44"/>
        <v>-4.9627893421289038E-3</v>
      </c>
      <c r="D1469" s="106">
        <v>54027.32</v>
      </c>
      <c r="E1469" s="87">
        <f t="shared" si="45"/>
        <v>-1.0704831130960102E-2</v>
      </c>
    </row>
    <row r="1470" spans="1:5" x14ac:dyDescent="0.2">
      <c r="A1470" s="105" t="s">
        <v>1972</v>
      </c>
      <c r="B1470" s="106">
        <v>40.200000000000003</v>
      </c>
      <c r="C1470" s="87">
        <f t="shared" si="44"/>
        <v>0</v>
      </c>
      <c r="D1470" s="106">
        <v>55271.63</v>
      </c>
      <c r="E1470" s="87">
        <f t="shared" si="45"/>
        <v>2.2769912444230656E-2</v>
      </c>
    </row>
    <row r="1471" spans="1:5" x14ac:dyDescent="0.2">
      <c r="A1471" s="105" t="s">
        <v>1973</v>
      </c>
      <c r="B1471" s="106">
        <v>38.4</v>
      </c>
      <c r="C1471" s="87">
        <f t="shared" si="44"/>
        <v>-4.5809536031294673E-2</v>
      </c>
      <c r="D1471" s="106">
        <v>55379.91</v>
      </c>
      <c r="E1471" s="87">
        <f t="shared" si="45"/>
        <v>1.9571356090093417E-3</v>
      </c>
    </row>
    <row r="1472" spans="1:5" x14ac:dyDescent="0.2">
      <c r="A1472" s="105" t="s">
        <v>1974</v>
      </c>
      <c r="B1472" s="106">
        <v>36.6</v>
      </c>
      <c r="C1472" s="87">
        <f t="shared" si="44"/>
        <v>-4.8009219186360585E-2</v>
      </c>
      <c r="D1472" s="106">
        <v>55490.46</v>
      </c>
      <c r="E1472" s="87">
        <f t="shared" si="45"/>
        <v>1.9942214793235991E-3</v>
      </c>
    </row>
    <row r="1473" spans="1:5" x14ac:dyDescent="0.2">
      <c r="A1473" s="105" t="s">
        <v>1975</v>
      </c>
      <c r="B1473" s="106">
        <v>38.4</v>
      </c>
      <c r="C1473" s="87">
        <f t="shared" si="44"/>
        <v>4.8009219186360585E-2</v>
      </c>
      <c r="D1473" s="106">
        <v>56516.02</v>
      </c>
      <c r="E1473" s="87">
        <f t="shared" si="45"/>
        <v>1.8313023700192943E-2</v>
      </c>
    </row>
    <row r="1474" spans="1:5" x14ac:dyDescent="0.2">
      <c r="A1474" s="105" t="s">
        <v>1976</v>
      </c>
      <c r="B1474" s="106">
        <v>38</v>
      </c>
      <c r="C1474" s="87">
        <f t="shared" si="44"/>
        <v>-1.0471299867295336E-2</v>
      </c>
      <c r="D1474" s="106">
        <v>58415.839999999997</v>
      </c>
      <c r="E1474" s="87">
        <f t="shared" si="45"/>
        <v>3.306294814832178E-2</v>
      </c>
    </row>
    <row r="1475" spans="1:5" x14ac:dyDescent="0.2">
      <c r="A1475" s="105" t="s">
        <v>1977</v>
      </c>
      <c r="B1475" s="106">
        <v>38.6</v>
      </c>
      <c r="C1475" s="87">
        <f t="shared" si="44"/>
        <v>1.5666116744399439E-2</v>
      </c>
      <c r="D1475" s="106">
        <v>58974.76</v>
      </c>
      <c r="E1475" s="87">
        <f t="shared" si="45"/>
        <v>9.5224698305678146E-3</v>
      </c>
    </row>
    <row r="1476" spans="1:5" x14ac:dyDescent="0.2">
      <c r="A1476" s="105" t="s">
        <v>1978</v>
      </c>
      <c r="B1476" s="106">
        <v>38.6</v>
      </c>
      <c r="C1476" s="87">
        <f t="shared" si="44"/>
        <v>0</v>
      </c>
      <c r="D1476" s="106">
        <v>59106.29</v>
      </c>
      <c r="E1476" s="87">
        <f t="shared" si="45"/>
        <v>2.2277927643656881E-3</v>
      </c>
    </row>
    <row r="1477" spans="1:5" x14ac:dyDescent="0.2">
      <c r="A1477" s="105" t="s">
        <v>1979</v>
      </c>
      <c r="B1477" s="106">
        <v>40.4</v>
      </c>
      <c r="C1477" s="87">
        <f t="shared" ref="C1477:C1540" si="46">LN(B1477)-LN(B1476)</f>
        <v>4.5577508496319474E-2</v>
      </c>
      <c r="D1477" s="106">
        <v>58237.83</v>
      </c>
      <c r="E1477" s="87">
        <f t="shared" ref="E1477:E1540" si="47">LN(D1477)-LN(D1476)</f>
        <v>-1.4802204949949882E-2</v>
      </c>
    </row>
    <row r="1478" spans="1:5" x14ac:dyDescent="0.2">
      <c r="A1478" s="105" t="s">
        <v>1980</v>
      </c>
      <c r="B1478" s="106">
        <v>39.4</v>
      </c>
      <c r="C1478" s="87">
        <f t="shared" si="46"/>
        <v>-2.5063968663216585E-2</v>
      </c>
      <c r="D1478" s="106">
        <v>57527.82</v>
      </c>
      <c r="E1478" s="87">
        <f t="shared" si="47"/>
        <v>-1.2266486694731071E-2</v>
      </c>
    </row>
    <row r="1479" spans="1:5" x14ac:dyDescent="0.2">
      <c r="A1479" s="105" t="s">
        <v>1981</v>
      </c>
      <c r="B1479" s="106">
        <v>38.200000000000003</v>
      </c>
      <c r="C1479" s="87">
        <f t="shared" si="46"/>
        <v>-3.0930300691358603E-2</v>
      </c>
      <c r="D1479" s="106">
        <v>57048.33</v>
      </c>
      <c r="E1479" s="87">
        <f t="shared" si="47"/>
        <v>-8.3698535724465728E-3</v>
      </c>
    </row>
    <row r="1480" spans="1:5" x14ac:dyDescent="0.2">
      <c r="A1480" s="105" t="s">
        <v>1982</v>
      </c>
      <c r="B1480" s="106">
        <v>40</v>
      </c>
      <c r="C1480" s="87">
        <f t="shared" si="46"/>
        <v>4.6043938501406867E-2</v>
      </c>
      <c r="D1480" s="106">
        <v>57632.29</v>
      </c>
      <c r="E1480" s="87">
        <f t="shared" si="47"/>
        <v>1.0184197595879851E-2</v>
      </c>
    </row>
    <row r="1481" spans="1:5" x14ac:dyDescent="0.2">
      <c r="A1481" s="105" t="s">
        <v>1983</v>
      </c>
      <c r="B1481" s="106">
        <v>40</v>
      </c>
      <c r="C1481" s="87">
        <f t="shared" si="46"/>
        <v>0</v>
      </c>
      <c r="D1481" s="106">
        <v>56858.6</v>
      </c>
      <c r="E1481" s="87">
        <f t="shared" si="47"/>
        <v>-1.3515516866160482E-2</v>
      </c>
    </row>
    <row r="1482" spans="1:5" x14ac:dyDescent="0.2">
      <c r="A1482" s="105" t="s">
        <v>1984</v>
      </c>
      <c r="B1482" s="106">
        <v>39.799999999999997</v>
      </c>
      <c r="C1482" s="87">
        <f t="shared" si="46"/>
        <v>-5.0125418235444918E-3</v>
      </c>
      <c r="D1482" s="106">
        <v>57575.14</v>
      </c>
      <c r="E1482" s="87">
        <f t="shared" si="47"/>
        <v>1.252339327330354E-2</v>
      </c>
    </row>
    <row r="1483" spans="1:5" x14ac:dyDescent="0.2">
      <c r="A1483" s="105" t="s">
        <v>1985</v>
      </c>
      <c r="B1483" s="106">
        <v>37.799999999999997</v>
      </c>
      <c r="C1483" s="87">
        <f t="shared" si="46"/>
        <v>-5.1557809664849685E-2</v>
      </c>
      <c r="D1483" s="106">
        <v>57843.93</v>
      </c>
      <c r="E1483" s="87">
        <f t="shared" si="47"/>
        <v>4.6576442856363087E-3</v>
      </c>
    </row>
    <row r="1484" spans="1:5" x14ac:dyDescent="0.2">
      <c r="A1484" s="105" t="s">
        <v>1986</v>
      </c>
      <c r="B1484" s="106">
        <v>41.6</v>
      </c>
      <c r="C1484" s="87">
        <f t="shared" si="46"/>
        <v>9.5791064641675749E-2</v>
      </c>
      <c r="D1484" s="106">
        <v>57580.05</v>
      </c>
      <c r="E1484" s="87">
        <f t="shared" si="47"/>
        <v>-4.5723680596498895E-3</v>
      </c>
    </row>
    <row r="1485" spans="1:5" x14ac:dyDescent="0.2">
      <c r="A1485" s="105" t="s">
        <v>1987</v>
      </c>
      <c r="B1485" s="106">
        <v>37.200000000000003</v>
      </c>
      <c r="C1485" s="87">
        <f t="shared" si="46"/>
        <v>-0.11179140598811665</v>
      </c>
      <c r="D1485" s="106">
        <v>58469.599999999999</v>
      </c>
      <c r="E1485" s="87">
        <f t="shared" si="47"/>
        <v>1.5330807508355804E-2</v>
      </c>
    </row>
    <row r="1486" spans="1:5" x14ac:dyDescent="0.2">
      <c r="A1486" s="105" t="s">
        <v>1988</v>
      </c>
      <c r="B1486" s="106">
        <v>40.6</v>
      </c>
      <c r="C1486" s="87">
        <f t="shared" si="46"/>
        <v>8.7459305328585923E-2</v>
      </c>
      <c r="D1486" s="106">
        <v>61225.82</v>
      </c>
      <c r="E1486" s="87">
        <f t="shared" si="47"/>
        <v>4.6062034921188655E-2</v>
      </c>
    </row>
    <row r="1487" spans="1:5" x14ac:dyDescent="0.2">
      <c r="A1487" s="105" t="s">
        <v>1989</v>
      </c>
      <c r="B1487" s="106">
        <v>41.8</v>
      </c>
      <c r="C1487" s="87">
        <f t="shared" si="46"/>
        <v>2.9128272923023335E-2</v>
      </c>
      <c r="D1487" s="106">
        <v>61426.67</v>
      </c>
      <c r="E1487" s="87">
        <f t="shared" si="47"/>
        <v>3.2751096945879965E-3</v>
      </c>
    </row>
    <row r="1488" spans="1:5" x14ac:dyDescent="0.2">
      <c r="A1488" s="105" t="s">
        <v>1990</v>
      </c>
      <c r="B1488" s="106">
        <v>39.799999999999997</v>
      </c>
      <c r="C1488" s="87">
        <f t="shared" si="46"/>
        <v>-4.9029427240318668E-2</v>
      </c>
      <c r="D1488" s="106">
        <v>61083.54</v>
      </c>
      <c r="E1488" s="87">
        <f t="shared" si="47"/>
        <v>-5.6016702158547815E-3</v>
      </c>
    </row>
    <row r="1489" spans="1:5" x14ac:dyDescent="0.2">
      <c r="A1489" s="105" t="s">
        <v>1991</v>
      </c>
      <c r="B1489" s="106">
        <v>39.6</v>
      </c>
      <c r="C1489" s="87">
        <f t="shared" si="46"/>
        <v>-5.0377940299570767E-3</v>
      </c>
      <c r="D1489" s="106">
        <v>60044.45</v>
      </c>
      <c r="E1489" s="87">
        <f t="shared" si="47"/>
        <v>-1.7157314175122451E-2</v>
      </c>
    </row>
    <row r="1490" spans="1:5" x14ac:dyDescent="0.2">
      <c r="A1490" s="105" t="s">
        <v>1992</v>
      </c>
      <c r="B1490" s="106">
        <v>36.200000000000003</v>
      </c>
      <c r="C1490" s="87">
        <f t="shared" si="46"/>
        <v>-8.9769999428709113E-2</v>
      </c>
      <c r="D1490" s="106">
        <v>58882.57</v>
      </c>
      <c r="E1490" s="87">
        <f t="shared" si="47"/>
        <v>-1.9539999707980371E-2</v>
      </c>
    </row>
    <row r="1491" spans="1:5" x14ac:dyDescent="0.2">
      <c r="A1491" s="105" t="s">
        <v>1993</v>
      </c>
      <c r="B1491" s="106">
        <v>38</v>
      </c>
      <c r="C1491" s="87">
        <f t="shared" si="46"/>
        <v>4.852704089466009E-2</v>
      </c>
      <c r="D1491" s="106">
        <v>59950.14</v>
      </c>
      <c r="E1491" s="87">
        <f t="shared" si="47"/>
        <v>1.7968095184299315E-2</v>
      </c>
    </row>
    <row r="1492" spans="1:5" x14ac:dyDescent="0.2">
      <c r="A1492" s="105" t="s">
        <v>1994</v>
      </c>
      <c r="B1492" s="106">
        <v>36.799999999999997</v>
      </c>
      <c r="C1492" s="87">
        <f t="shared" si="46"/>
        <v>-3.2088314551500297E-2</v>
      </c>
      <c r="D1492" s="106">
        <v>59484.35</v>
      </c>
      <c r="E1492" s="87">
        <f t="shared" si="47"/>
        <v>-7.7999640058941111E-3</v>
      </c>
    </row>
    <row r="1493" spans="1:5" x14ac:dyDescent="0.2">
      <c r="A1493" s="105" t="s">
        <v>1995</v>
      </c>
      <c r="B1493" s="106">
        <v>36.6</v>
      </c>
      <c r="C1493" s="87">
        <f t="shared" si="46"/>
        <v>-5.4496047675649528E-3</v>
      </c>
      <c r="D1493" s="106">
        <v>56585.5</v>
      </c>
      <c r="E1493" s="87">
        <f t="shared" si="47"/>
        <v>-4.9960484101408298E-2</v>
      </c>
    </row>
    <row r="1494" spans="1:5" x14ac:dyDescent="0.2">
      <c r="A1494" s="105" t="s">
        <v>1996</v>
      </c>
      <c r="B1494" s="106">
        <v>38.4</v>
      </c>
      <c r="C1494" s="87">
        <f t="shared" si="46"/>
        <v>4.8009219186360585E-2</v>
      </c>
      <c r="D1494" s="106">
        <v>56205.55</v>
      </c>
      <c r="E1494" s="87">
        <f t="shared" si="47"/>
        <v>-6.737262170748437E-3</v>
      </c>
    </row>
    <row r="1495" spans="1:5" x14ac:dyDescent="0.2">
      <c r="A1495" s="105" t="s">
        <v>1997</v>
      </c>
      <c r="B1495" s="106">
        <v>38.4</v>
      </c>
      <c r="C1495" s="87">
        <f t="shared" si="46"/>
        <v>0</v>
      </c>
      <c r="D1495" s="106">
        <v>56594.71</v>
      </c>
      <c r="E1495" s="87">
        <f t="shared" si="47"/>
        <v>6.9000114715365157E-3</v>
      </c>
    </row>
    <row r="1496" spans="1:5" x14ac:dyDescent="0.2">
      <c r="A1496" s="105" t="s">
        <v>1998</v>
      </c>
      <c r="B1496" s="106">
        <v>38</v>
      </c>
      <c r="C1496" s="87">
        <f t="shared" si="46"/>
        <v>-1.0471299867295336E-2</v>
      </c>
      <c r="D1496" s="106">
        <v>56544.08</v>
      </c>
      <c r="E1496" s="87">
        <f t="shared" si="47"/>
        <v>-8.9500698000577472E-4</v>
      </c>
    </row>
    <row r="1497" spans="1:5" x14ac:dyDescent="0.2">
      <c r="A1497" s="105" t="s">
        <v>1999</v>
      </c>
      <c r="B1497" s="106">
        <v>37.6</v>
      </c>
      <c r="C1497" s="87">
        <f t="shared" si="46"/>
        <v>-1.0582109330536937E-2</v>
      </c>
      <c r="D1497" s="106">
        <v>57041.58</v>
      </c>
      <c r="E1497" s="87">
        <f t="shared" si="47"/>
        <v>8.7599646184788327E-3</v>
      </c>
    </row>
    <row r="1498" spans="1:5" x14ac:dyDescent="0.2">
      <c r="A1498" s="105" t="s">
        <v>2000</v>
      </c>
      <c r="B1498" s="106">
        <v>38</v>
      </c>
      <c r="C1498" s="87">
        <f t="shared" si="46"/>
        <v>1.0582109330536937E-2</v>
      </c>
      <c r="D1498" s="106">
        <v>56413.96</v>
      </c>
      <c r="E1498" s="87">
        <f t="shared" si="47"/>
        <v>-1.1063829975105577E-2</v>
      </c>
    </row>
    <row r="1499" spans="1:5" x14ac:dyDescent="0.2">
      <c r="A1499" s="105" t="s">
        <v>2001</v>
      </c>
      <c r="B1499" s="106">
        <v>36.6</v>
      </c>
      <c r="C1499" s="87">
        <f t="shared" si="46"/>
        <v>-3.7537919319065249E-2</v>
      </c>
      <c r="D1499" s="106">
        <v>56497.02</v>
      </c>
      <c r="E1499" s="87">
        <f t="shared" si="47"/>
        <v>1.4712477915335143E-3</v>
      </c>
    </row>
    <row r="1500" spans="1:5" x14ac:dyDescent="0.2">
      <c r="A1500" s="105" t="s">
        <v>2002</v>
      </c>
      <c r="B1500" s="106">
        <v>38</v>
      </c>
      <c r="C1500" s="87">
        <f t="shared" si="46"/>
        <v>3.7537919319065249E-2</v>
      </c>
      <c r="D1500" s="106">
        <v>56393.58</v>
      </c>
      <c r="E1500" s="87">
        <f t="shared" si="47"/>
        <v>-1.8325711609055162E-3</v>
      </c>
    </row>
    <row r="1501" spans="1:5" x14ac:dyDescent="0.2">
      <c r="A1501" s="105" t="s">
        <v>2003</v>
      </c>
      <c r="B1501" s="106">
        <v>36.799999999999997</v>
      </c>
      <c r="C1501" s="87">
        <f t="shared" si="46"/>
        <v>-3.2088314551500297E-2</v>
      </c>
      <c r="D1501" s="106">
        <v>55627.24</v>
      </c>
      <c r="E1501" s="87">
        <f t="shared" si="47"/>
        <v>-1.3682312899153004E-2</v>
      </c>
    </row>
    <row r="1502" spans="1:5" x14ac:dyDescent="0.2">
      <c r="A1502" s="105" t="s">
        <v>2004</v>
      </c>
      <c r="B1502" s="106">
        <v>36.6</v>
      </c>
      <c r="C1502" s="87">
        <f t="shared" si="46"/>
        <v>-5.4496047675649528E-3</v>
      </c>
      <c r="D1502" s="106">
        <v>55954.44</v>
      </c>
      <c r="E1502" s="87">
        <f t="shared" si="47"/>
        <v>5.864778839208995E-3</v>
      </c>
    </row>
    <row r="1503" spans="1:5" x14ac:dyDescent="0.2">
      <c r="A1503" s="105" t="s">
        <v>2005</v>
      </c>
      <c r="B1503" s="106">
        <v>38.4</v>
      </c>
      <c r="C1503" s="87">
        <f t="shared" si="46"/>
        <v>4.8009219186360585E-2</v>
      </c>
      <c r="D1503" s="106">
        <v>56638.39</v>
      </c>
      <c r="E1503" s="87">
        <f t="shared" si="47"/>
        <v>1.2149235662485935E-2</v>
      </c>
    </row>
    <row r="1504" spans="1:5" x14ac:dyDescent="0.2">
      <c r="A1504" s="105" t="s">
        <v>2006</v>
      </c>
      <c r="B1504" s="106">
        <v>38.200000000000003</v>
      </c>
      <c r="C1504" s="87">
        <f t="shared" si="46"/>
        <v>-5.2219439811516111E-3</v>
      </c>
      <c r="D1504" s="106">
        <v>56474</v>
      </c>
      <c r="E1504" s="87">
        <f t="shared" si="47"/>
        <v>-2.9066685928995639E-3</v>
      </c>
    </row>
    <row r="1505" spans="1:5" x14ac:dyDescent="0.2">
      <c r="A1505" s="105" t="s">
        <v>2007</v>
      </c>
      <c r="B1505" s="106">
        <v>37.200000000000003</v>
      </c>
      <c r="C1505" s="87">
        <f t="shared" si="46"/>
        <v>-2.6526754333428215E-2</v>
      </c>
      <c r="D1505" s="106">
        <v>58603.93</v>
      </c>
      <c r="E1505" s="87">
        <f t="shared" si="47"/>
        <v>3.7021403933318098E-2</v>
      </c>
    </row>
    <row r="1506" spans="1:5" x14ac:dyDescent="0.2">
      <c r="A1506" s="105" t="s">
        <v>2008</v>
      </c>
      <c r="B1506" s="106">
        <v>37.4</v>
      </c>
      <c r="C1506" s="87">
        <f t="shared" si="46"/>
        <v>5.3619431413851615E-3</v>
      </c>
      <c r="D1506" s="106">
        <v>58686.19</v>
      </c>
      <c r="E1506" s="87">
        <f t="shared" si="47"/>
        <v>1.4026759199694538E-3</v>
      </c>
    </row>
    <row r="1507" spans="1:5" x14ac:dyDescent="0.2">
      <c r="A1507" s="105" t="s">
        <v>2009</v>
      </c>
      <c r="B1507" s="106">
        <v>37.200000000000003</v>
      </c>
      <c r="C1507" s="87">
        <f t="shared" si="46"/>
        <v>-5.3619431413851615E-3</v>
      </c>
      <c r="D1507" s="106">
        <v>59015.21</v>
      </c>
      <c r="E1507" s="87">
        <f t="shared" si="47"/>
        <v>5.5907721914465469E-3</v>
      </c>
    </row>
    <row r="1508" spans="1:5" x14ac:dyDescent="0.2">
      <c r="A1508" s="105" t="s">
        <v>2010</v>
      </c>
      <c r="B1508" s="106">
        <v>37.6</v>
      </c>
      <c r="C1508" s="87">
        <f t="shared" si="46"/>
        <v>1.0695289116747553E-2</v>
      </c>
      <c r="D1508" s="106">
        <v>59412.76</v>
      </c>
      <c r="E1508" s="87">
        <f t="shared" si="47"/>
        <v>6.7138108219619852E-3</v>
      </c>
    </row>
    <row r="1509" spans="1:5" x14ac:dyDescent="0.2">
      <c r="A1509" s="105" t="s">
        <v>2011</v>
      </c>
      <c r="B1509" s="106">
        <v>38.799999999999997</v>
      </c>
      <c r="C1509" s="87">
        <f t="shared" si="46"/>
        <v>3.141619623337899E-2</v>
      </c>
      <c r="D1509" s="106">
        <v>59080.88</v>
      </c>
      <c r="E1509" s="87">
        <f t="shared" si="47"/>
        <v>-5.601665504217479E-3</v>
      </c>
    </row>
    <row r="1510" spans="1:5" x14ac:dyDescent="0.2">
      <c r="A1510" s="105" t="s">
        <v>2012</v>
      </c>
      <c r="B1510" s="106">
        <v>38</v>
      </c>
      <c r="C1510" s="87">
        <f t="shared" si="46"/>
        <v>-2.0834086902842053E-2</v>
      </c>
      <c r="D1510" s="106">
        <v>59089.599999999999</v>
      </c>
      <c r="E1510" s="87">
        <f t="shared" si="47"/>
        <v>1.475833899604595E-4</v>
      </c>
    </row>
    <row r="1511" spans="1:5" x14ac:dyDescent="0.2">
      <c r="A1511" s="105" t="s">
        <v>2013</v>
      </c>
      <c r="B1511" s="106">
        <v>38.4</v>
      </c>
      <c r="C1511" s="87">
        <f t="shared" si="46"/>
        <v>1.0471299867295336E-2</v>
      </c>
      <c r="D1511" s="106">
        <v>58206.49</v>
      </c>
      <c r="E1511" s="87">
        <f t="shared" si="47"/>
        <v>-1.5058075451879205E-2</v>
      </c>
    </row>
    <row r="1512" spans="1:5" x14ac:dyDescent="0.2">
      <c r="A1512" s="105" t="s">
        <v>461</v>
      </c>
      <c r="B1512" s="106">
        <v>38.4</v>
      </c>
      <c r="C1512" s="87">
        <f t="shared" si="46"/>
        <v>0</v>
      </c>
      <c r="D1512" s="106">
        <v>57890.11</v>
      </c>
      <c r="E1512" s="87">
        <f t="shared" si="47"/>
        <v>-5.4503023033039E-3</v>
      </c>
    </row>
    <row r="1513" spans="1:5" x14ac:dyDescent="0.2">
      <c r="A1513" s="105" t="s">
        <v>2014</v>
      </c>
      <c r="B1513" s="106">
        <v>34</v>
      </c>
      <c r="C1513" s="87">
        <f t="shared" si="46"/>
        <v>-0.12169693497751943</v>
      </c>
      <c r="D1513" s="106">
        <v>57282.73</v>
      </c>
      <c r="E1513" s="87">
        <f t="shared" si="47"/>
        <v>-1.0547376113391849E-2</v>
      </c>
    </row>
    <row r="1514" spans="1:5" x14ac:dyDescent="0.2">
      <c r="A1514" s="105" t="s">
        <v>2015</v>
      </c>
      <c r="B1514" s="106">
        <v>34</v>
      </c>
      <c r="C1514" s="87">
        <f t="shared" si="46"/>
        <v>0</v>
      </c>
      <c r="D1514" s="106">
        <v>57871.23</v>
      </c>
      <c r="E1514" s="87">
        <f t="shared" si="47"/>
        <v>1.022118776471892E-2</v>
      </c>
    </row>
    <row r="1515" spans="1:5" x14ac:dyDescent="0.2">
      <c r="A1515" s="105" t="s">
        <v>2016</v>
      </c>
      <c r="B1515" s="106">
        <v>35</v>
      </c>
      <c r="C1515" s="87">
        <f t="shared" si="46"/>
        <v>2.8987536873251951E-2</v>
      </c>
      <c r="D1515" s="106">
        <v>58033.72</v>
      </c>
      <c r="E1515" s="87">
        <f t="shared" si="47"/>
        <v>2.803851025383608E-3</v>
      </c>
    </row>
    <row r="1516" spans="1:5" x14ac:dyDescent="0.2">
      <c r="A1516" s="105" t="s">
        <v>2017</v>
      </c>
      <c r="B1516" s="106">
        <v>34</v>
      </c>
      <c r="C1516" s="87">
        <f t="shared" si="46"/>
        <v>-2.8987536873251951E-2</v>
      </c>
      <c r="D1516" s="106">
        <v>59015.14</v>
      </c>
      <c r="E1516" s="87">
        <f t="shared" si="47"/>
        <v>1.6769800235167054E-2</v>
      </c>
    </row>
    <row r="1517" spans="1:5" x14ac:dyDescent="0.2">
      <c r="A1517" s="105" t="s">
        <v>2018</v>
      </c>
      <c r="B1517" s="106">
        <v>34</v>
      </c>
      <c r="C1517" s="87">
        <f t="shared" si="46"/>
        <v>0</v>
      </c>
      <c r="D1517" s="106">
        <v>60784.11</v>
      </c>
      <c r="E1517" s="87">
        <f t="shared" si="47"/>
        <v>2.9534384973938899E-2</v>
      </c>
    </row>
    <row r="1518" spans="1:5" x14ac:dyDescent="0.2">
      <c r="A1518" s="105" t="s">
        <v>2019</v>
      </c>
      <c r="B1518" s="106">
        <v>34</v>
      </c>
      <c r="C1518" s="87">
        <f t="shared" si="46"/>
        <v>0</v>
      </c>
      <c r="D1518" s="106">
        <v>60091.26</v>
      </c>
      <c r="E1518" s="87">
        <f t="shared" si="47"/>
        <v>-1.1463999457212992E-2</v>
      </c>
    </row>
    <row r="1519" spans="1:5" x14ac:dyDescent="0.2">
      <c r="A1519" s="105" t="s">
        <v>2020</v>
      </c>
      <c r="B1519" s="106">
        <v>34</v>
      </c>
      <c r="C1519" s="87">
        <f t="shared" si="46"/>
        <v>0</v>
      </c>
      <c r="D1519" s="106">
        <v>58596.43</v>
      </c>
      <c r="E1519" s="87">
        <f t="shared" si="47"/>
        <v>-2.5190633447708777E-2</v>
      </c>
    </row>
    <row r="1520" spans="1:5" x14ac:dyDescent="0.2">
      <c r="A1520" s="105" t="s">
        <v>2021</v>
      </c>
      <c r="B1520" s="106">
        <v>34</v>
      </c>
      <c r="C1520" s="87">
        <f t="shared" si="46"/>
        <v>0</v>
      </c>
      <c r="D1520" s="106">
        <v>58883.65</v>
      </c>
      <c r="E1520" s="87">
        <f t="shared" si="47"/>
        <v>4.8896897629493452E-3</v>
      </c>
    </row>
    <row r="1521" spans="1:5" x14ac:dyDescent="0.2">
      <c r="A1521" s="105" t="s">
        <v>2022</v>
      </c>
      <c r="B1521" s="106">
        <v>33.4</v>
      </c>
      <c r="C1521" s="87">
        <f t="shared" si="46"/>
        <v>-1.7804624633507071E-2</v>
      </c>
      <c r="D1521" s="106">
        <v>60066.46</v>
      </c>
      <c r="E1521" s="87">
        <f t="shared" si="47"/>
        <v>1.9888152890256805E-2</v>
      </c>
    </row>
    <row r="1522" spans="1:5" x14ac:dyDescent="0.2">
      <c r="A1522" s="105" t="s">
        <v>2023</v>
      </c>
      <c r="B1522" s="106">
        <v>35.4</v>
      </c>
      <c r="C1522" s="87">
        <f t="shared" si="46"/>
        <v>5.815592015707427E-2</v>
      </c>
      <c r="D1522" s="106">
        <v>59567.47</v>
      </c>
      <c r="E1522" s="87">
        <f t="shared" si="47"/>
        <v>-8.341996182471334E-3</v>
      </c>
    </row>
    <row r="1523" spans="1:5" x14ac:dyDescent="0.2">
      <c r="A1523" s="105" t="s">
        <v>2024</v>
      </c>
      <c r="B1523" s="106">
        <v>37</v>
      </c>
      <c r="C1523" s="87">
        <f t="shared" si="46"/>
        <v>4.4206092504495587E-2</v>
      </c>
      <c r="D1523" s="106">
        <v>59553.13</v>
      </c>
      <c r="E1523" s="87">
        <f t="shared" si="47"/>
        <v>-2.4076440295495161E-4</v>
      </c>
    </row>
    <row r="1524" spans="1:5" x14ac:dyDescent="0.2">
      <c r="A1524" s="105" t="s">
        <v>2025</v>
      </c>
      <c r="B1524" s="106">
        <v>38.200000000000003</v>
      </c>
      <c r="C1524" s="87">
        <f t="shared" si="46"/>
        <v>3.1917602968305037E-2</v>
      </c>
      <c r="D1524" s="106">
        <v>58902.2</v>
      </c>
      <c r="E1524" s="87">
        <f t="shared" si="47"/>
        <v>-1.0990413890132444E-2</v>
      </c>
    </row>
    <row r="1525" spans="1:5" x14ac:dyDescent="0.2">
      <c r="A1525" s="105" t="s">
        <v>2026</v>
      </c>
      <c r="B1525" s="106">
        <v>38</v>
      </c>
      <c r="C1525" s="87">
        <f t="shared" si="46"/>
        <v>-5.2493558861437251E-3</v>
      </c>
      <c r="D1525" s="106">
        <v>58377.42</v>
      </c>
      <c r="E1525" s="87">
        <f t="shared" si="47"/>
        <v>-8.9492701705538025E-3</v>
      </c>
    </row>
    <row r="1526" spans="1:5" x14ac:dyDescent="0.2">
      <c r="A1526" s="105" t="s">
        <v>2027</v>
      </c>
      <c r="B1526" s="106">
        <v>38.6</v>
      </c>
      <c r="C1526" s="87">
        <f t="shared" si="46"/>
        <v>1.5666116744399439E-2</v>
      </c>
      <c r="D1526" s="106">
        <v>59077.72</v>
      </c>
      <c r="E1526" s="87">
        <f t="shared" si="47"/>
        <v>1.1924693945921661E-2</v>
      </c>
    </row>
    <row r="1527" spans="1:5" x14ac:dyDescent="0.2">
      <c r="A1527" s="105" t="s">
        <v>2028</v>
      </c>
      <c r="B1527" s="106">
        <v>39.799999999999997</v>
      </c>
      <c r="C1527" s="87">
        <f t="shared" si="46"/>
        <v>3.0614635819606661E-2</v>
      </c>
      <c r="D1527" s="106">
        <v>58965.53</v>
      </c>
      <c r="E1527" s="87">
        <f t="shared" si="47"/>
        <v>-1.900829294008588E-3</v>
      </c>
    </row>
    <row r="1528" spans="1:5" x14ac:dyDescent="0.2">
      <c r="A1528" s="105" t="s">
        <v>2029</v>
      </c>
      <c r="B1528" s="106">
        <v>36.4</v>
      </c>
      <c r="C1528" s="87">
        <f t="shared" si="46"/>
        <v>-8.9298137647696674E-2</v>
      </c>
      <c r="D1528" s="106">
        <v>59436.36</v>
      </c>
      <c r="E1528" s="87">
        <f t="shared" si="47"/>
        <v>7.9531244264714474E-3</v>
      </c>
    </row>
    <row r="1529" spans="1:5" x14ac:dyDescent="0.2">
      <c r="A1529" s="105" t="s">
        <v>2030</v>
      </c>
      <c r="B1529" s="106">
        <v>33</v>
      </c>
      <c r="C1529" s="87">
        <f t="shared" si="46"/>
        <v>-9.8061213176214856E-2</v>
      </c>
      <c r="D1529" s="106">
        <v>59862.55</v>
      </c>
      <c r="E1529" s="87">
        <f t="shared" si="47"/>
        <v>7.144940604872474E-3</v>
      </c>
    </row>
    <row r="1530" spans="1:5" x14ac:dyDescent="0.2">
      <c r="A1530" s="105" t="s">
        <v>2031</v>
      </c>
      <c r="B1530" s="106">
        <v>37.799999999999997</v>
      </c>
      <c r="C1530" s="87">
        <f t="shared" si="46"/>
        <v>0.13580154115906184</v>
      </c>
      <c r="D1530" s="106">
        <v>59596.35</v>
      </c>
      <c r="E1530" s="87">
        <f t="shared" si="47"/>
        <v>-4.4567703305986583E-3</v>
      </c>
    </row>
    <row r="1531" spans="1:5" x14ac:dyDescent="0.2">
      <c r="A1531" s="105" t="s">
        <v>2032</v>
      </c>
      <c r="B1531" s="106">
        <v>38</v>
      </c>
      <c r="C1531" s="87">
        <f t="shared" si="46"/>
        <v>5.2770571008435851E-3</v>
      </c>
      <c r="D1531" s="106">
        <v>61156.91</v>
      </c>
      <c r="E1531" s="87">
        <f t="shared" si="47"/>
        <v>2.5848525981508885E-2</v>
      </c>
    </row>
    <row r="1532" spans="1:5" x14ac:dyDescent="0.2">
      <c r="A1532" s="105" t="s">
        <v>2033</v>
      </c>
      <c r="B1532" s="106">
        <v>38.6</v>
      </c>
      <c r="C1532" s="87">
        <f t="shared" si="46"/>
        <v>1.5666116744399439E-2</v>
      </c>
      <c r="D1532" s="106">
        <v>61399.9</v>
      </c>
      <c r="E1532" s="87">
        <f t="shared" si="47"/>
        <v>3.9653499205449805E-3</v>
      </c>
    </row>
    <row r="1533" spans="1:5" x14ac:dyDescent="0.2">
      <c r="A1533" s="105" t="s">
        <v>2034</v>
      </c>
      <c r="B1533" s="106">
        <v>36.4</v>
      </c>
      <c r="C1533" s="87">
        <f t="shared" si="46"/>
        <v>-5.8683501828090012E-2</v>
      </c>
      <c r="D1533" s="106">
        <v>61740.09</v>
      </c>
      <c r="E1533" s="87">
        <f t="shared" si="47"/>
        <v>5.5252703116224211E-3</v>
      </c>
    </row>
    <row r="1534" spans="1:5" x14ac:dyDescent="0.2">
      <c r="A1534" s="105" t="s">
        <v>2035</v>
      </c>
      <c r="B1534" s="106">
        <v>35.799999999999997</v>
      </c>
      <c r="C1534" s="87">
        <f t="shared" si="46"/>
        <v>-1.6620881236040663E-2</v>
      </c>
      <c r="D1534" s="106">
        <v>62241.93</v>
      </c>
      <c r="E1534" s="87">
        <f t="shared" si="47"/>
        <v>8.0954115878970612E-3</v>
      </c>
    </row>
    <row r="1535" spans="1:5" x14ac:dyDescent="0.2">
      <c r="A1535" s="105" t="s">
        <v>2036</v>
      </c>
      <c r="B1535" s="106">
        <v>34</v>
      </c>
      <c r="C1535" s="87">
        <f t="shared" si="46"/>
        <v>-5.158736879049286E-2</v>
      </c>
      <c r="D1535" s="106">
        <v>61688.08</v>
      </c>
      <c r="E1535" s="87">
        <f t="shared" si="47"/>
        <v>-8.938169008319008E-3</v>
      </c>
    </row>
    <row r="1536" spans="1:5" x14ac:dyDescent="0.2">
      <c r="A1536" s="105" t="s">
        <v>2037</v>
      </c>
      <c r="B1536" s="106">
        <v>36</v>
      </c>
      <c r="C1536" s="87">
        <f t="shared" si="46"/>
        <v>5.7158413839948352E-2</v>
      </c>
      <c r="D1536" s="106">
        <v>61036.99</v>
      </c>
      <c r="E1536" s="87">
        <f t="shared" si="47"/>
        <v>-1.0610645544753439E-2</v>
      </c>
    </row>
    <row r="1537" spans="1:5" x14ac:dyDescent="0.2">
      <c r="A1537" s="105" t="s">
        <v>2038</v>
      </c>
      <c r="B1537" s="106">
        <v>34</v>
      </c>
      <c r="C1537" s="87">
        <f t="shared" si="46"/>
        <v>-5.7158413839948352E-2</v>
      </c>
      <c r="D1537" s="106">
        <v>61635.69</v>
      </c>
      <c r="E1537" s="87">
        <f t="shared" si="47"/>
        <v>9.7610120450379867E-3</v>
      </c>
    </row>
    <row r="1538" spans="1:5" x14ac:dyDescent="0.2">
      <c r="A1538" s="105" t="s">
        <v>2039</v>
      </c>
      <c r="B1538" s="106">
        <v>34</v>
      </c>
      <c r="C1538" s="87">
        <f t="shared" si="46"/>
        <v>0</v>
      </c>
      <c r="D1538" s="106">
        <v>61118.06</v>
      </c>
      <c r="E1538" s="87">
        <f t="shared" si="47"/>
        <v>-8.4336823619430845E-3</v>
      </c>
    </row>
    <row r="1539" spans="1:5" x14ac:dyDescent="0.2">
      <c r="A1539" s="105" t="s">
        <v>2040</v>
      </c>
      <c r="B1539" s="106">
        <v>32.6</v>
      </c>
      <c r="C1539" s="87">
        <f t="shared" si="46"/>
        <v>-4.2048236243499737E-2</v>
      </c>
      <c r="D1539" s="106">
        <v>60854.63</v>
      </c>
      <c r="E1539" s="87">
        <f t="shared" si="47"/>
        <v>-4.3194982350733824E-3</v>
      </c>
    </row>
    <row r="1540" spans="1:5" x14ac:dyDescent="0.2">
      <c r="A1540" s="105" t="s">
        <v>2041</v>
      </c>
      <c r="B1540" s="106">
        <v>30.2</v>
      </c>
      <c r="C1540" s="87">
        <f t="shared" si="46"/>
        <v>-7.6470363991838042E-2</v>
      </c>
      <c r="D1540" s="106">
        <v>60580.36</v>
      </c>
      <c r="E1540" s="87">
        <f t="shared" si="47"/>
        <v>-4.5171571450115522E-3</v>
      </c>
    </row>
    <row r="1541" spans="1:5" x14ac:dyDescent="0.2">
      <c r="A1541" s="105" t="s">
        <v>464</v>
      </c>
      <c r="B1541" s="106">
        <v>32.6</v>
      </c>
      <c r="C1541" s="87">
        <f t="shared" ref="C1541:C1604" si="48">LN(B1541)-LN(B1540)</f>
        <v>7.6470363991838042E-2</v>
      </c>
      <c r="D1541" s="106">
        <v>61116.959999999999</v>
      </c>
      <c r="E1541" s="87">
        <f t="shared" ref="E1541:E1604" si="49">LN(D1541)-LN(D1540)</f>
        <v>8.8186572646495875E-3</v>
      </c>
    </row>
    <row r="1542" spans="1:5" x14ac:dyDescent="0.2">
      <c r="A1542" s="105" t="s">
        <v>2042</v>
      </c>
      <c r="B1542" s="106">
        <v>30</v>
      </c>
      <c r="C1542" s="87">
        <f t="shared" si="48"/>
        <v>-8.3114906710506364E-2</v>
      </c>
      <c r="D1542" s="106">
        <v>61703.18</v>
      </c>
      <c r="E1542" s="87">
        <f t="shared" si="49"/>
        <v>9.5460638901005979E-3</v>
      </c>
    </row>
    <row r="1543" spans="1:5" x14ac:dyDescent="0.2">
      <c r="A1543" s="105" t="s">
        <v>2043</v>
      </c>
      <c r="B1543" s="106">
        <v>32.799999999999997</v>
      </c>
      <c r="C1543" s="87">
        <f t="shared" si="48"/>
        <v>8.9231133727942336E-2</v>
      </c>
      <c r="D1543" s="106">
        <v>62928.22</v>
      </c>
      <c r="E1543" s="87">
        <f t="shared" si="49"/>
        <v>1.9659242450847714E-2</v>
      </c>
    </row>
    <row r="1544" spans="1:5" x14ac:dyDescent="0.2">
      <c r="A1544" s="105" t="s">
        <v>2044</v>
      </c>
      <c r="B1544" s="106">
        <v>30</v>
      </c>
      <c r="C1544" s="87">
        <f t="shared" si="48"/>
        <v>-8.9231133727942336E-2</v>
      </c>
      <c r="D1544" s="106">
        <v>62659.44</v>
      </c>
      <c r="E1544" s="87">
        <f t="shared" si="49"/>
        <v>-4.2803633791912432E-3</v>
      </c>
    </row>
    <row r="1545" spans="1:5" x14ac:dyDescent="0.2">
      <c r="A1545" s="105" t="s">
        <v>2045</v>
      </c>
      <c r="B1545" s="106">
        <v>29.6</v>
      </c>
      <c r="C1545" s="87">
        <f t="shared" si="48"/>
        <v>-1.3423020332140823E-2</v>
      </c>
      <c r="D1545" s="106">
        <v>62665.06</v>
      </c>
      <c r="E1545" s="87">
        <f t="shared" si="49"/>
        <v>8.968717216006894E-5</v>
      </c>
    </row>
    <row r="1546" spans="1:5" x14ac:dyDescent="0.2">
      <c r="A1546" s="105" t="s">
        <v>2046</v>
      </c>
      <c r="B1546" s="106">
        <v>29</v>
      </c>
      <c r="C1546" s="87">
        <f t="shared" si="48"/>
        <v>-2.0478531343540496E-2</v>
      </c>
      <c r="D1546" s="106">
        <v>62717.27</v>
      </c>
      <c r="E1546" s="87">
        <f t="shared" si="49"/>
        <v>8.3281277382063479E-4</v>
      </c>
    </row>
    <row r="1547" spans="1:5" x14ac:dyDescent="0.2">
      <c r="A1547" s="105" t="s">
        <v>2047</v>
      </c>
      <c r="B1547" s="106">
        <v>29.4</v>
      </c>
      <c r="C1547" s="87">
        <f t="shared" si="48"/>
        <v>1.3698844358161821E-2</v>
      </c>
      <c r="D1547" s="106">
        <v>62858.559999999998</v>
      </c>
      <c r="E1547" s="87">
        <f t="shared" si="49"/>
        <v>2.2502747482739949E-3</v>
      </c>
    </row>
    <row r="1548" spans="1:5" x14ac:dyDescent="0.2">
      <c r="A1548" s="105" t="s">
        <v>2048</v>
      </c>
      <c r="B1548" s="106">
        <v>29.6</v>
      </c>
      <c r="C1548" s="87">
        <f t="shared" si="48"/>
        <v>6.7796869853786745E-3</v>
      </c>
      <c r="D1548" s="106">
        <v>62803.65</v>
      </c>
      <c r="E1548" s="87">
        <f t="shared" si="49"/>
        <v>-8.7393025309445704E-4</v>
      </c>
    </row>
    <row r="1549" spans="1:5" x14ac:dyDescent="0.2">
      <c r="A1549" s="105" t="s">
        <v>2049</v>
      </c>
      <c r="B1549" s="106">
        <v>28</v>
      </c>
      <c r="C1549" s="87">
        <f t="shared" si="48"/>
        <v>-5.5569851154810834E-2</v>
      </c>
      <c r="D1549" s="106">
        <v>62818.71</v>
      </c>
      <c r="E1549" s="87">
        <f t="shared" si="49"/>
        <v>2.3976623384847073E-4</v>
      </c>
    </row>
    <row r="1550" spans="1:5" x14ac:dyDescent="0.2">
      <c r="A1550" s="105" t="s">
        <v>2050</v>
      </c>
      <c r="B1550" s="106">
        <v>24</v>
      </c>
      <c r="C1550" s="87">
        <f t="shared" si="48"/>
        <v>-0.15415067982725805</v>
      </c>
      <c r="D1550" s="106">
        <v>63078.16</v>
      </c>
      <c r="E1550" s="87">
        <f t="shared" si="49"/>
        <v>4.1216333224429746E-3</v>
      </c>
    </row>
    <row r="1551" spans="1:5" x14ac:dyDescent="0.2">
      <c r="A1551" s="105" t="s">
        <v>2051</v>
      </c>
      <c r="B1551" s="106">
        <v>23.8</v>
      </c>
      <c r="C1551" s="87">
        <f t="shared" si="48"/>
        <v>-8.3682496705166365E-3</v>
      </c>
      <c r="D1551" s="106">
        <v>66685.33</v>
      </c>
      <c r="E1551" s="87">
        <f t="shared" si="49"/>
        <v>5.5610396340645352E-2</v>
      </c>
    </row>
    <row r="1552" spans="1:5" x14ac:dyDescent="0.2">
      <c r="A1552" s="105" t="s">
        <v>2052</v>
      </c>
      <c r="B1552" s="106">
        <v>23.8</v>
      </c>
      <c r="C1552" s="87">
        <f t="shared" si="48"/>
        <v>0</v>
      </c>
      <c r="D1552" s="106">
        <v>65465.65</v>
      </c>
      <c r="E1552" s="87">
        <f t="shared" si="49"/>
        <v>-1.8459411101133583E-2</v>
      </c>
    </row>
    <row r="1553" spans="1:5" x14ac:dyDescent="0.2">
      <c r="A1553" s="105" t="s">
        <v>2053</v>
      </c>
      <c r="B1553" s="106">
        <v>22</v>
      </c>
      <c r="C1553" s="87">
        <f t="shared" si="48"/>
        <v>-7.8643127319113049E-2</v>
      </c>
      <c r="D1553" s="106">
        <v>64884.73</v>
      </c>
      <c r="E1553" s="87">
        <f t="shared" si="49"/>
        <v>-8.9132666278590733E-3</v>
      </c>
    </row>
    <row r="1554" spans="1:5" x14ac:dyDescent="0.2">
      <c r="A1554" s="105" t="s">
        <v>2054</v>
      </c>
      <c r="B1554" s="106">
        <v>22</v>
      </c>
      <c r="C1554" s="87">
        <f t="shared" si="48"/>
        <v>0</v>
      </c>
      <c r="D1554" s="106">
        <v>65314.32</v>
      </c>
      <c r="E1554" s="87">
        <f t="shared" si="49"/>
        <v>6.5989968273427735E-3</v>
      </c>
    </row>
    <row r="1555" spans="1:5" x14ac:dyDescent="0.2">
      <c r="A1555" s="105" t="s">
        <v>2055</v>
      </c>
      <c r="B1555" s="106">
        <v>22.6</v>
      </c>
      <c r="C1555" s="87">
        <f t="shared" si="48"/>
        <v>2.6907452919924246E-2</v>
      </c>
      <c r="D1555" s="106">
        <v>65297.96</v>
      </c>
      <c r="E1555" s="87">
        <f t="shared" si="49"/>
        <v>-2.5051243398444001E-4</v>
      </c>
    </row>
    <row r="1556" spans="1:5" x14ac:dyDescent="0.2">
      <c r="A1556" s="105" t="s">
        <v>2056</v>
      </c>
      <c r="B1556" s="106">
        <v>20.5</v>
      </c>
      <c r="C1556" s="87">
        <f t="shared" si="48"/>
        <v>-9.752502013387776E-2</v>
      </c>
      <c r="D1556" s="106">
        <v>63237.38</v>
      </c>
      <c r="E1556" s="87">
        <f t="shared" si="49"/>
        <v>-3.2065213357570954E-2</v>
      </c>
    </row>
    <row r="1557" spans="1:5" x14ac:dyDescent="0.2">
      <c r="A1557" s="105" t="s">
        <v>2057</v>
      </c>
      <c r="B1557" s="106">
        <v>20.5</v>
      </c>
      <c r="C1557" s="87">
        <f t="shared" si="48"/>
        <v>0</v>
      </c>
      <c r="D1557" s="106">
        <v>63538.95</v>
      </c>
      <c r="E1557" s="87">
        <f t="shared" si="49"/>
        <v>4.7575216731914338E-3</v>
      </c>
    </row>
    <row r="1558" spans="1:5" x14ac:dyDescent="0.2">
      <c r="A1558" s="105" t="s">
        <v>2058</v>
      </c>
      <c r="B1558" s="106">
        <v>23.49</v>
      </c>
      <c r="C1558" s="87">
        <f t="shared" si="48"/>
        <v>0.13614991252645892</v>
      </c>
      <c r="D1558" s="106">
        <v>62000.65</v>
      </c>
      <c r="E1558" s="87">
        <f t="shared" si="49"/>
        <v>-2.4508234820119768E-2</v>
      </c>
    </row>
    <row r="1559" spans="1:5" x14ac:dyDescent="0.2">
      <c r="A1559" s="105" t="s">
        <v>2059</v>
      </c>
      <c r="B1559" s="106">
        <v>23</v>
      </c>
      <c r="C1559" s="87">
        <f t="shared" si="48"/>
        <v>-2.1080582741671794E-2</v>
      </c>
      <c r="D1559" s="106">
        <v>62430.239999999998</v>
      </c>
      <c r="E1559" s="87">
        <f t="shared" si="49"/>
        <v>6.904904510783183E-3</v>
      </c>
    </row>
    <row r="1560" spans="1:5" x14ac:dyDescent="0.2">
      <c r="A1560" s="105" t="s">
        <v>2060</v>
      </c>
      <c r="B1560" s="106">
        <v>20.5</v>
      </c>
      <c r="C1560" s="87">
        <f t="shared" si="48"/>
        <v>-0.11506932978478712</v>
      </c>
      <c r="D1560" s="106">
        <v>62164.65</v>
      </c>
      <c r="E1560" s="87">
        <f t="shared" si="49"/>
        <v>-4.2632631605883375E-3</v>
      </c>
    </row>
    <row r="1561" spans="1:5" x14ac:dyDescent="0.2">
      <c r="A1561" s="105" t="s">
        <v>2061</v>
      </c>
      <c r="B1561" s="106">
        <v>20.56</v>
      </c>
      <c r="C1561" s="87">
        <f t="shared" si="48"/>
        <v>2.9225544426019212E-3</v>
      </c>
      <c r="D1561" s="106">
        <v>63961.27</v>
      </c>
      <c r="E1561" s="87">
        <f t="shared" si="49"/>
        <v>2.8491233717424791E-2</v>
      </c>
    </row>
    <row r="1562" spans="1:5" x14ac:dyDescent="0.2">
      <c r="A1562" s="105" t="s">
        <v>2062</v>
      </c>
      <c r="B1562" s="106">
        <v>21.16</v>
      </c>
      <c r="C1562" s="87">
        <f t="shared" si="48"/>
        <v>2.8765166403134312E-2</v>
      </c>
      <c r="D1562" s="106">
        <v>64177.91</v>
      </c>
      <c r="E1562" s="87">
        <f t="shared" si="49"/>
        <v>3.3813265608593213E-3</v>
      </c>
    </row>
    <row r="1563" spans="1:5" x14ac:dyDescent="0.2">
      <c r="A1563" s="105" t="s">
        <v>2063</v>
      </c>
      <c r="B1563" s="106">
        <v>23.5</v>
      </c>
      <c r="C1563" s="87">
        <f t="shared" si="48"/>
        <v>0.10488781416001469</v>
      </c>
      <c r="D1563" s="106">
        <v>63857.97</v>
      </c>
      <c r="E1563" s="87">
        <f t="shared" si="49"/>
        <v>-4.9976719950812765E-3</v>
      </c>
    </row>
    <row r="1564" spans="1:5" x14ac:dyDescent="0.2">
      <c r="A1564" s="105" t="s">
        <v>2064</v>
      </c>
      <c r="B1564" s="106">
        <v>25.8</v>
      </c>
      <c r="C1564" s="87">
        <f t="shared" si="48"/>
        <v>9.3374070777458407E-2</v>
      </c>
      <c r="D1564" s="106">
        <v>64010.67</v>
      </c>
      <c r="E1564" s="87">
        <f t="shared" si="49"/>
        <v>2.3883897191439019E-3</v>
      </c>
    </row>
    <row r="1565" spans="1:5" x14ac:dyDescent="0.2">
      <c r="A1565" s="105" t="s">
        <v>2065</v>
      </c>
      <c r="B1565" s="106">
        <v>26</v>
      </c>
      <c r="C1565" s="87">
        <f t="shared" si="48"/>
        <v>7.7220460939102509E-3</v>
      </c>
      <c r="D1565" s="106">
        <v>64617.71</v>
      </c>
      <c r="E1565" s="87">
        <f t="shared" si="49"/>
        <v>9.4387336098602503E-3</v>
      </c>
    </row>
    <row r="1566" spans="1:5" x14ac:dyDescent="0.2">
      <c r="A1566" s="105" t="s">
        <v>2066</v>
      </c>
      <c r="B1566" s="106">
        <v>23</v>
      </c>
      <c r="C1566" s="87">
        <f t="shared" si="48"/>
        <v>-0.12260232209233246</v>
      </c>
      <c r="D1566" s="106">
        <v>65134.28</v>
      </c>
      <c r="E1566" s="87">
        <f t="shared" si="49"/>
        <v>7.9624633000854317E-3</v>
      </c>
    </row>
    <row r="1567" spans="1:5" x14ac:dyDescent="0.2">
      <c r="A1567" s="105" t="s">
        <v>2067</v>
      </c>
      <c r="B1567" s="106">
        <v>23</v>
      </c>
      <c r="C1567" s="87">
        <f t="shared" si="48"/>
        <v>0</v>
      </c>
      <c r="D1567" s="106">
        <v>64565.59</v>
      </c>
      <c r="E1567" s="87">
        <f t="shared" si="49"/>
        <v>-8.769378788821669E-3</v>
      </c>
    </row>
    <row r="1568" spans="1:5" x14ac:dyDescent="0.2">
      <c r="A1568" s="105" t="s">
        <v>2068</v>
      </c>
      <c r="B1568" s="106">
        <v>25.8</v>
      </c>
      <c r="C1568" s="87">
        <f t="shared" si="48"/>
        <v>0.11488027599842221</v>
      </c>
      <c r="D1568" s="106">
        <v>64375.83</v>
      </c>
      <c r="E1568" s="87">
        <f t="shared" si="49"/>
        <v>-2.9433542301013915E-3</v>
      </c>
    </row>
    <row r="1569" spans="1:5" x14ac:dyDescent="0.2">
      <c r="A1569" s="105" t="s">
        <v>2069</v>
      </c>
      <c r="B1569" s="106">
        <v>25.8</v>
      </c>
      <c r="C1569" s="87">
        <f t="shared" si="48"/>
        <v>0</v>
      </c>
      <c r="D1569" s="106">
        <v>64054.62</v>
      </c>
      <c r="E1569" s="87">
        <f t="shared" si="49"/>
        <v>-5.0020952157083798E-3</v>
      </c>
    </row>
    <row r="1570" spans="1:5" x14ac:dyDescent="0.2">
      <c r="A1570" s="105" t="s">
        <v>2070</v>
      </c>
      <c r="B1570" s="106">
        <v>25.8</v>
      </c>
      <c r="C1570" s="87">
        <f t="shared" si="48"/>
        <v>0</v>
      </c>
      <c r="D1570" s="106">
        <v>63342.71</v>
      </c>
      <c r="E1570" s="87">
        <f t="shared" si="49"/>
        <v>-1.1176331723712352E-2</v>
      </c>
    </row>
    <row r="1571" spans="1:5" x14ac:dyDescent="0.2">
      <c r="A1571" s="105" t="s">
        <v>2071</v>
      </c>
      <c r="B1571" s="106">
        <v>25.8</v>
      </c>
      <c r="C1571" s="87">
        <f t="shared" si="48"/>
        <v>0</v>
      </c>
      <c r="D1571" s="106">
        <v>63158.16</v>
      </c>
      <c r="E1571" s="87">
        <f t="shared" si="49"/>
        <v>-2.9177685644157236E-3</v>
      </c>
    </row>
    <row r="1572" spans="1:5" x14ac:dyDescent="0.2">
      <c r="A1572" s="105" t="s">
        <v>2072</v>
      </c>
      <c r="B1572" s="106">
        <v>26</v>
      </c>
      <c r="C1572" s="87">
        <f t="shared" si="48"/>
        <v>7.7220460939102509E-3</v>
      </c>
      <c r="D1572" s="106">
        <v>64755.22</v>
      </c>
      <c r="E1572" s="87">
        <f t="shared" si="49"/>
        <v>2.4972258489997401E-2</v>
      </c>
    </row>
    <row r="1573" spans="1:5" x14ac:dyDescent="0.2">
      <c r="A1573" s="105" t="s">
        <v>2073</v>
      </c>
      <c r="B1573" s="106">
        <v>26.2</v>
      </c>
      <c r="C1573" s="87">
        <f t="shared" si="48"/>
        <v>7.6628727455689827E-3</v>
      </c>
      <c r="D1573" s="106">
        <v>64456.06</v>
      </c>
      <c r="E1573" s="87">
        <f t="shared" si="49"/>
        <v>-4.6305637487975559E-3</v>
      </c>
    </row>
    <row r="1574" spans="1:5" x14ac:dyDescent="0.2">
      <c r="A1574" s="105" t="s">
        <v>2074</v>
      </c>
      <c r="B1574" s="106">
        <v>26.29</v>
      </c>
      <c r="C1574" s="87">
        <f t="shared" si="48"/>
        <v>3.4292279747387688E-3</v>
      </c>
      <c r="D1574" s="106">
        <v>63700.76</v>
      </c>
      <c r="E1574" s="87">
        <f t="shared" si="49"/>
        <v>-1.1787257908869364E-2</v>
      </c>
    </row>
    <row r="1575" spans="1:5" x14ac:dyDescent="0.2">
      <c r="A1575" s="105" t="s">
        <v>2075</v>
      </c>
      <c r="B1575" s="106">
        <v>26.3</v>
      </c>
      <c r="C1575" s="87">
        <f t="shared" si="48"/>
        <v>3.8030044192893797E-4</v>
      </c>
      <c r="D1575" s="106">
        <v>64826.07</v>
      </c>
      <c r="E1575" s="87">
        <f t="shared" si="49"/>
        <v>1.7511343832977033E-2</v>
      </c>
    </row>
    <row r="1576" spans="1:5" x14ac:dyDescent="0.2">
      <c r="A1576" s="105" t="s">
        <v>2076</v>
      </c>
      <c r="B1576" s="106">
        <v>26.3</v>
      </c>
      <c r="C1576" s="87">
        <f t="shared" si="48"/>
        <v>0</v>
      </c>
      <c r="D1576" s="106">
        <v>64768.25</v>
      </c>
      <c r="E1576" s="87">
        <f t="shared" si="49"/>
        <v>-8.9232311781195506E-4</v>
      </c>
    </row>
    <row r="1577" spans="1:5" x14ac:dyDescent="0.2">
      <c r="A1577" s="105" t="s">
        <v>2077</v>
      </c>
      <c r="B1577" s="106">
        <v>24.8</v>
      </c>
      <c r="C1577" s="87">
        <f t="shared" si="48"/>
        <v>-5.8725286012782263E-2</v>
      </c>
      <c r="D1577" s="106">
        <v>65038.75</v>
      </c>
      <c r="E1577" s="87">
        <f t="shared" si="49"/>
        <v>4.1677319643529387E-3</v>
      </c>
    </row>
    <row r="1578" spans="1:5" x14ac:dyDescent="0.2">
      <c r="A1578" s="105" t="s">
        <v>2078</v>
      </c>
      <c r="B1578" s="106">
        <v>25</v>
      </c>
      <c r="C1578" s="87">
        <f t="shared" si="48"/>
        <v>8.0321716972640012E-3</v>
      </c>
      <c r="D1578" s="106">
        <v>64135.519999999997</v>
      </c>
      <c r="E1578" s="87">
        <f t="shared" si="49"/>
        <v>-1.3984901496330693E-2</v>
      </c>
    </row>
    <row r="1579" spans="1:5" x14ac:dyDescent="0.2">
      <c r="A1579" s="105" t="s">
        <v>2079</v>
      </c>
      <c r="B1579" s="106">
        <v>24.95</v>
      </c>
      <c r="C1579" s="87">
        <f t="shared" si="48"/>
        <v>-2.0020026706730754E-3</v>
      </c>
      <c r="D1579" s="106">
        <v>62053.31</v>
      </c>
      <c r="E1579" s="87">
        <f t="shared" si="49"/>
        <v>-3.3004490311119739E-2</v>
      </c>
    </row>
    <row r="1580" spans="1:5" x14ac:dyDescent="0.2">
      <c r="A1580" s="105" t="s">
        <v>2080</v>
      </c>
      <c r="B1580" s="106">
        <v>24.95</v>
      </c>
      <c r="C1580" s="87">
        <f t="shared" si="48"/>
        <v>0</v>
      </c>
      <c r="D1580" s="106">
        <v>62932.28</v>
      </c>
      <c r="E1580" s="87">
        <f t="shared" si="49"/>
        <v>1.4065373309856355E-2</v>
      </c>
    </row>
    <row r="1581" spans="1:5" x14ac:dyDescent="0.2">
      <c r="A1581" s="105" t="s">
        <v>2081</v>
      </c>
      <c r="B1581" s="106">
        <v>24.95</v>
      </c>
      <c r="C1581" s="87">
        <f t="shared" si="48"/>
        <v>0</v>
      </c>
      <c r="D1581" s="106">
        <v>62018.68</v>
      </c>
      <c r="E1581" s="87">
        <f t="shared" si="49"/>
        <v>-1.4623597626227891E-2</v>
      </c>
    </row>
    <row r="1582" spans="1:5" x14ac:dyDescent="0.2">
      <c r="A1582" s="105" t="s">
        <v>2082</v>
      </c>
      <c r="B1582" s="106">
        <v>26.4</v>
      </c>
      <c r="C1582" s="87">
        <f t="shared" si="48"/>
        <v>5.6490187954743032E-2</v>
      </c>
      <c r="D1582" s="106">
        <v>60829.24</v>
      </c>
      <c r="E1582" s="87">
        <f t="shared" si="49"/>
        <v>-1.9365035569570921E-2</v>
      </c>
    </row>
    <row r="1583" spans="1:5" x14ac:dyDescent="0.2">
      <c r="A1583" s="105" t="s">
        <v>2083</v>
      </c>
      <c r="B1583" s="106">
        <v>26</v>
      </c>
      <c r="C1583" s="87">
        <f t="shared" si="48"/>
        <v>-1.5267472130788384E-2</v>
      </c>
      <c r="D1583" s="106">
        <v>61915.09</v>
      </c>
      <c r="E1583" s="87">
        <f t="shared" si="49"/>
        <v>1.7693335852468906E-2</v>
      </c>
    </row>
    <row r="1584" spans="1:5" x14ac:dyDescent="0.2">
      <c r="A1584" s="105" t="s">
        <v>2084</v>
      </c>
      <c r="B1584" s="106">
        <v>26.4</v>
      </c>
      <c r="C1584" s="87">
        <f t="shared" si="48"/>
        <v>1.5267472130788384E-2</v>
      </c>
      <c r="D1584" s="106">
        <v>60841.94</v>
      </c>
      <c r="E1584" s="87">
        <f t="shared" si="49"/>
        <v>-1.7484576472538649E-2</v>
      </c>
    </row>
    <row r="1585" spans="1:5" x14ac:dyDescent="0.2">
      <c r="A1585" s="105" t="s">
        <v>2085</v>
      </c>
      <c r="B1585" s="106">
        <v>25</v>
      </c>
      <c r="C1585" s="87">
        <f t="shared" si="48"/>
        <v>-5.4488185284069957E-2</v>
      </c>
      <c r="D1585" s="106">
        <v>61048.15</v>
      </c>
      <c r="E1585" s="87">
        <f t="shared" si="49"/>
        <v>3.3835432680469069E-3</v>
      </c>
    </row>
    <row r="1586" spans="1:5" x14ac:dyDescent="0.2">
      <c r="A1586" s="105" t="s">
        <v>2086</v>
      </c>
      <c r="B1586" s="106">
        <v>26.4</v>
      </c>
      <c r="C1586" s="87">
        <f t="shared" si="48"/>
        <v>5.4488185284069957E-2</v>
      </c>
      <c r="D1586" s="106">
        <v>60518.239999999998</v>
      </c>
      <c r="E1586" s="87">
        <f t="shared" si="49"/>
        <v>-8.7180898654164452E-3</v>
      </c>
    </row>
    <row r="1587" spans="1:5" x14ac:dyDescent="0.2">
      <c r="A1587" s="105" t="s">
        <v>2087</v>
      </c>
      <c r="B1587" s="106">
        <v>26.49</v>
      </c>
      <c r="C1587" s="87">
        <f t="shared" si="48"/>
        <v>3.4032931317078408E-3</v>
      </c>
      <c r="D1587" s="106">
        <v>60354.559999999998</v>
      </c>
      <c r="E1587" s="87">
        <f t="shared" si="49"/>
        <v>-2.7083032749821712E-3</v>
      </c>
    </row>
    <row r="1588" spans="1:5" x14ac:dyDescent="0.2">
      <c r="A1588" s="105" t="s">
        <v>2088</v>
      </c>
      <c r="B1588" s="106">
        <v>26.49</v>
      </c>
      <c r="C1588" s="87">
        <f t="shared" si="48"/>
        <v>0</v>
      </c>
      <c r="D1588" s="106">
        <v>61181.57</v>
      </c>
      <c r="E1588" s="87">
        <f t="shared" si="49"/>
        <v>1.36094964476694E-2</v>
      </c>
    </row>
    <row r="1589" spans="1:5" x14ac:dyDescent="0.2">
      <c r="A1589" s="105" t="s">
        <v>2089</v>
      </c>
      <c r="B1589" s="106">
        <v>22</v>
      </c>
      <c r="C1589" s="87">
        <f t="shared" si="48"/>
        <v>-0.18572484992566229</v>
      </c>
      <c r="D1589" s="106">
        <v>60754.42</v>
      </c>
      <c r="E1589" s="87">
        <f t="shared" si="49"/>
        <v>-7.0061635989073778E-3</v>
      </c>
    </row>
    <row r="1590" spans="1:5" x14ac:dyDescent="0.2">
      <c r="A1590" s="105" t="s">
        <v>2090</v>
      </c>
      <c r="B1590" s="106">
        <v>22</v>
      </c>
      <c r="C1590" s="87">
        <f t="shared" si="48"/>
        <v>0</v>
      </c>
      <c r="D1590" s="106">
        <v>60407.7</v>
      </c>
      <c r="E1590" s="87">
        <f t="shared" si="49"/>
        <v>-5.7232565164735405E-3</v>
      </c>
    </row>
    <row r="1591" spans="1:5" x14ac:dyDescent="0.2">
      <c r="A1591" s="105" t="s">
        <v>2091</v>
      </c>
      <c r="B1591" s="106">
        <v>22</v>
      </c>
      <c r="C1591" s="87">
        <f t="shared" si="48"/>
        <v>0</v>
      </c>
      <c r="D1591" s="106">
        <v>61595.38</v>
      </c>
      <c r="E1591" s="87">
        <f t="shared" si="49"/>
        <v>1.9470287467679981E-2</v>
      </c>
    </row>
    <row r="1592" spans="1:5" x14ac:dyDescent="0.2">
      <c r="A1592" s="105" t="s">
        <v>2092</v>
      </c>
      <c r="B1592" s="106">
        <v>28</v>
      </c>
      <c r="C1592" s="87">
        <f t="shared" si="48"/>
        <v>0.24116205681688774</v>
      </c>
      <c r="D1592" s="106">
        <v>62336.39</v>
      </c>
      <c r="E1592" s="87">
        <f t="shared" si="49"/>
        <v>1.1958496690501974E-2</v>
      </c>
    </row>
    <row r="1593" spans="1:5" x14ac:dyDescent="0.2">
      <c r="A1593" s="105" t="s">
        <v>2093</v>
      </c>
      <c r="B1593" s="106">
        <v>27.98</v>
      </c>
      <c r="C1593" s="87">
        <f t="shared" si="48"/>
        <v>-7.1454093786860184E-4</v>
      </c>
      <c r="D1593" s="106">
        <v>61831.4</v>
      </c>
      <c r="E1593" s="87">
        <f t="shared" si="49"/>
        <v>-8.1340383731340893E-3</v>
      </c>
    </row>
    <row r="1594" spans="1:5" x14ac:dyDescent="0.2">
      <c r="A1594" s="105" t="s">
        <v>2094</v>
      </c>
      <c r="B1594" s="106">
        <v>25.79</v>
      </c>
      <c r="C1594" s="87">
        <f t="shared" si="48"/>
        <v>-8.1503149344081649E-2</v>
      </c>
      <c r="D1594" s="106">
        <v>61862.8</v>
      </c>
      <c r="E1594" s="87">
        <f t="shared" si="49"/>
        <v>5.0770368658348275E-4</v>
      </c>
    </row>
    <row r="1595" spans="1:5" x14ac:dyDescent="0.2">
      <c r="A1595" s="105" t="s">
        <v>2095</v>
      </c>
      <c r="B1595" s="106">
        <v>23.2</v>
      </c>
      <c r="C1595" s="87">
        <f t="shared" si="48"/>
        <v>-0.10583454122098912</v>
      </c>
      <c r="D1595" s="106">
        <v>61182.78</v>
      </c>
      <c r="E1595" s="87">
        <f t="shared" si="49"/>
        <v>-1.1053252354207288E-2</v>
      </c>
    </row>
    <row r="1596" spans="1:5" x14ac:dyDescent="0.2">
      <c r="A1596" s="105" t="s">
        <v>2096</v>
      </c>
      <c r="B1596" s="106">
        <v>22.69</v>
      </c>
      <c r="C1596" s="87">
        <f t="shared" si="48"/>
        <v>-2.2227979880514059E-2</v>
      </c>
      <c r="D1596" s="106">
        <v>59700.07</v>
      </c>
      <c r="E1596" s="87">
        <f t="shared" si="49"/>
        <v>-2.4532584449396211E-2</v>
      </c>
    </row>
    <row r="1597" spans="1:5" x14ac:dyDescent="0.2">
      <c r="A1597" s="105" t="s">
        <v>2097</v>
      </c>
      <c r="B1597" s="106">
        <v>22.69</v>
      </c>
      <c r="C1597" s="87">
        <f t="shared" si="48"/>
        <v>0</v>
      </c>
      <c r="D1597" s="106">
        <v>58377.919999999998</v>
      </c>
      <c r="E1597" s="87">
        <f t="shared" si="49"/>
        <v>-2.2395456775873512E-2</v>
      </c>
    </row>
    <row r="1598" spans="1:5" x14ac:dyDescent="0.2">
      <c r="A1598" s="105" t="s">
        <v>2098</v>
      </c>
      <c r="B1598" s="106">
        <v>21.99</v>
      </c>
      <c r="C1598" s="87">
        <f t="shared" si="48"/>
        <v>-3.1336494225080447E-2</v>
      </c>
      <c r="D1598" s="106">
        <v>58510.03</v>
      </c>
      <c r="E1598" s="87">
        <f t="shared" si="49"/>
        <v>2.26045638157224E-3</v>
      </c>
    </row>
    <row r="1599" spans="1:5" x14ac:dyDescent="0.2">
      <c r="A1599" s="105" t="s">
        <v>2099</v>
      </c>
      <c r="B1599" s="106">
        <v>21.99</v>
      </c>
      <c r="C1599" s="87">
        <f t="shared" si="48"/>
        <v>0</v>
      </c>
      <c r="D1599" s="106">
        <v>59112.38</v>
      </c>
      <c r="E1599" s="87">
        <f t="shared" si="49"/>
        <v>1.0242185407562943E-2</v>
      </c>
    </row>
    <row r="1600" spans="1:5" x14ac:dyDescent="0.2">
      <c r="A1600" s="105" t="s">
        <v>2100</v>
      </c>
      <c r="B1600" s="106">
        <v>22.69</v>
      </c>
      <c r="C1600" s="87">
        <f t="shared" si="48"/>
        <v>3.1336494225080447E-2</v>
      </c>
      <c r="D1600" s="106">
        <v>59287.92</v>
      </c>
      <c r="E1600" s="87">
        <f t="shared" si="49"/>
        <v>2.9651973621369621E-3</v>
      </c>
    </row>
    <row r="1601" spans="1:5" x14ac:dyDescent="0.2">
      <c r="A1601" s="105" t="s">
        <v>2101</v>
      </c>
      <c r="B1601" s="106">
        <v>21.99</v>
      </c>
      <c r="C1601" s="87">
        <f t="shared" si="48"/>
        <v>-3.1336494225080447E-2</v>
      </c>
      <c r="D1601" s="106">
        <v>59406.36</v>
      </c>
      <c r="E1601" s="87">
        <f t="shared" si="49"/>
        <v>1.9957160414314501E-3</v>
      </c>
    </row>
    <row r="1602" spans="1:5" x14ac:dyDescent="0.2">
      <c r="A1602" s="105" t="s">
        <v>2102</v>
      </c>
      <c r="B1602" s="106">
        <v>20</v>
      </c>
      <c r="C1602" s="87">
        <f t="shared" si="48"/>
        <v>-9.4855531012679073E-2</v>
      </c>
      <c r="D1602" s="106">
        <v>59369.66</v>
      </c>
      <c r="E1602" s="87">
        <f t="shared" si="49"/>
        <v>-6.1796987587214858E-4</v>
      </c>
    </row>
    <row r="1603" spans="1:5" x14ac:dyDescent="0.2">
      <c r="A1603" s="105" t="s">
        <v>2103</v>
      </c>
      <c r="B1603" s="106">
        <v>19.350000000000001</v>
      </c>
      <c r="C1603" s="87">
        <f t="shared" si="48"/>
        <v>-3.303985407819976E-2</v>
      </c>
      <c r="D1603" s="106">
        <v>59015.12</v>
      </c>
      <c r="E1603" s="87">
        <f t="shared" si="49"/>
        <v>-5.9896392078311322E-3</v>
      </c>
    </row>
    <row r="1604" spans="1:5" x14ac:dyDescent="0.2">
      <c r="A1604" s="105" t="s">
        <v>2104</v>
      </c>
      <c r="B1604" s="106">
        <v>20.100000000000001</v>
      </c>
      <c r="C1604" s="87">
        <f t="shared" si="48"/>
        <v>3.8027395589239177E-2</v>
      </c>
      <c r="D1604" s="106">
        <v>57911.31</v>
      </c>
      <c r="E1604" s="87">
        <f t="shared" si="49"/>
        <v>-1.8880979969539524E-2</v>
      </c>
    </row>
    <row r="1605" spans="1:5" x14ac:dyDescent="0.2">
      <c r="A1605" s="105" t="s">
        <v>2105</v>
      </c>
      <c r="B1605" s="106">
        <v>22.09</v>
      </c>
      <c r="C1605" s="87">
        <f t="shared" ref="C1605:C1668" si="50">LN(B1605)-LN(B1604)</f>
        <v>9.4405202366995677E-2</v>
      </c>
      <c r="D1605" s="106">
        <v>58527.199999999997</v>
      </c>
      <c r="E1605" s="87">
        <f t="shared" ref="E1605:E1668" si="51">LN(D1605)-LN(D1604)</f>
        <v>1.0578901152864972E-2</v>
      </c>
    </row>
    <row r="1606" spans="1:5" x14ac:dyDescent="0.2">
      <c r="A1606" s="105" t="s">
        <v>2106</v>
      </c>
      <c r="B1606" s="106">
        <v>21.9</v>
      </c>
      <c r="C1606" s="87">
        <f t="shared" si="50"/>
        <v>-8.6383806095708948E-3</v>
      </c>
      <c r="D1606" s="106">
        <v>59093.68</v>
      </c>
      <c r="E1606" s="87">
        <f t="shared" si="51"/>
        <v>9.6323778559614937E-3</v>
      </c>
    </row>
    <row r="1607" spans="1:5" x14ac:dyDescent="0.2">
      <c r="A1607" s="105" t="s">
        <v>2107</v>
      </c>
      <c r="B1607" s="106">
        <v>20</v>
      </c>
      <c r="C1607" s="87">
        <f t="shared" si="50"/>
        <v>-9.07543632684642E-2</v>
      </c>
      <c r="D1607" s="106">
        <v>58749.94</v>
      </c>
      <c r="E1607" s="87">
        <f t="shared" si="51"/>
        <v>-5.8338495524434819E-3</v>
      </c>
    </row>
    <row r="1608" spans="1:5" x14ac:dyDescent="0.2">
      <c r="A1608" s="105" t="s">
        <v>2108</v>
      </c>
      <c r="B1608" s="106">
        <v>20.2</v>
      </c>
      <c r="C1608" s="87">
        <f t="shared" si="50"/>
        <v>9.950330853168321E-3</v>
      </c>
      <c r="D1608" s="106">
        <v>60151.62</v>
      </c>
      <c r="E1608" s="87">
        <f t="shared" si="51"/>
        <v>2.3578242979187536E-2</v>
      </c>
    </row>
    <row r="1609" spans="1:5" x14ac:dyDescent="0.2">
      <c r="A1609" s="105" t="s">
        <v>2109</v>
      </c>
      <c r="B1609" s="106">
        <v>20</v>
      </c>
      <c r="C1609" s="87">
        <f t="shared" si="50"/>
        <v>-9.950330853168321E-3</v>
      </c>
      <c r="D1609" s="106">
        <v>60440.57</v>
      </c>
      <c r="E1609" s="87">
        <f t="shared" si="51"/>
        <v>4.7921934742323202E-3</v>
      </c>
    </row>
    <row r="1610" spans="1:5" x14ac:dyDescent="0.2">
      <c r="A1610" s="105" t="s">
        <v>2110</v>
      </c>
      <c r="B1610" s="106">
        <v>23.49</v>
      </c>
      <c r="C1610" s="87">
        <f t="shared" si="50"/>
        <v>0.16084252511683061</v>
      </c>
      <c r="D1610" s="106">
        <v>60247.18</v>
      </c>
      <c r="E1610" s="87">
        <f t="shared" si="51"/>
        <v>-3.2048019044470522E-3</v>
      </c>
    </row>
    <row r="1611" spans="1:5" x14ac:dyDescent="0.2">
      <c r="A1611" s="105" t="s">
        <v>2111</v>
      </c>
      <c r="B1611" s="106">
        <v>25.29</v>
      </c>
      <c r="C1611" s="87">
        <f t="shared" si="50"/>
        <v>7.3834262011052143E-2</v>
      </c>
      <c r="D1611" s="106">
        <v>57899.25</v>
      </c>
      <c r="E1611" s="87">
        <f t="shared" si="51"/>
        <v>-3.9751335168945801E-2</v>
      </c>
    </row>
    <row r="1612" spans="1:5" x14ac:dyDescent="0.2">
      <c r="A1612" s="105" t="s">
        <v>2112</v>
      </c>
      <c r="B1612" s="106">
        <v>23.77</v>
      </c>
      <c r="C1612" s="87">
        <f t="shared" si="50"/>
        <v>-6.1984779309771199E-2</v>
      </c>
      <c r="D1612" s="106">
        <v>57857.85</v>
      </c>
      <c r="E1612" s="87">
        <f t="shared" si="51"/>
        <v>-7.1529092842226305E-4</v>
      </c>
    </row>
    <row r="1613" spans="1:5" x14ac:dyDescent="0.2">
      <c r="A1613" s="105" t="s">
        <v>2113</v>
      </c>
      <c r="B1613" s="106">
        <v>24.99</v>
      </c>
      <c r="C1613" s="87">
        <f t="shared" si="50"/>
        <v>5.0051463474758418E-2</v>
      </c>
      <c r="D1613" s="106">
        <v>55408.23</v>
      </c>
      <c r="E1613" s="87">
        <f t="shared" si="51"/>
        <v>-4.3261001522182596E-2</v>
      </c>
    </row>
    <row r="1614" spans="1:5" x14ac:dyDescent="0.2">
      <c r="A1614" s="105" t="s">
        <v>477</v>
      </c>
      <c r="B1614" s="106">
        <v>25.6</v>
      </c>
      <c r="C1614" s="87">
        <f t="shared" si="50"/>
        <v>2.4116606638656002E-2</v>
      </c>
      <c r="D1614" s="106">
        <v>55651.75</v>
      </c>
      <c r="E1614" s="87">
        <f t="shared" si="51"/>
        <v>4.3853850914281622E-3</v>
      </c>
    </row>
    <row r="1615" spans="1:5" x14ac:dyDescent="0.2">
      <c r="A1615" s="105" t="s">
        <v>2114</v>
      </c>
      <c r="B1615" s="106">
        <v>23.67</v>
      </c>
      <c r="C1615" s="87">
        <f t="shared" si="50"/>
        <v>-7.8383927959624344E-2</v>
      </c>
      <c r="D1615" s="106">
        <v>55232.32</v>
      </c>
      <c r="E1615" s="87">
        <f t="shared" si="51"/>
        <v>-7.5652345810652832E-3</v>
      </c>
    </row>
    <row r="1616" spans="1:5" x14ac:dyDescent="0.2">
      <c r="A1616" s="105" t="s">
        <v>2115</v>
      </c>
      <c r="B1616" s="106">
        <v>23.67</v>
      </c>
      <c r="C1616" s="87">
        <f t="shared" si="50"/>
        <v>0</v>
      </c>
      <c r="D1616" s="106">
        <v>55657.7</v>
      </c>
      <c r="E1616" s="87">
        <f t="shared" si="51"/>
        <v>7.6721437429672079E-3</v>
      </c>
    </row>
    <row r="1617" spans="1:5" x14ac:dyDescent="0.2">
      <c r="A1617" s="105" t="s">
        <v>2116</v>
      </c>
      <c r="B1617" s="106">
        <v>20.95</v>
      </c>
      <c r="C1617" s="87">
        <f t="shared" si="50"/>
        <v>-0.12206977715774592</v>
      </c>
      <c r="D1617" s="106">
        <v>55484.56</v>
      </c>
      <c r="E1617" s="87">
        <f t="shared" si="51"/>
        <v>-3.1156490800103853E-3</v>
      </c>
    </row>
    <row r="1618" spans="1:5" x14ac:dyDescent="0.2">
      <c r="A1618" s="105" t="s">
        <v>2117</v>
      </c>
      <c r="B1618" s="106">
        <v>20.5</v>
      </c>
      <c r="C1618" s="87">
        <f t="shared" si="50"/>
        <v>-2.1713760223784018E-2</v>
      </c>
      <c r="D1618" s="106">
        <v>53988.51</v>
      </c>
      <c r="E1618" s="87">
        <f t="shared" si="51"/>
        <v>-2.7333537703800204E-2</v>
      </c>
    </row>
    <row r="1619" spans="1:5" x14ac:dyDescent="0.2">
      <c r="A1619" s="105" t="s">
        <v>2118</v>
      </c>
      <c r="B1619" s="106">
        <v>19.29</v>
      </c>
      <c r="C1619" s="87">
        <f t="shared" si="50"/>
        <v>-6.0838059226724805E-2</v>
      </c>
      <c r="D1619" s="106">
        <v>53425.2</v>
      </c>
      <c r="E1619" s="87">
        <f t="shared" si="51"/>
        <v>-1.0488701382142196E-2</v>
      </c>
    </row>
    <row r="1620" spans="1:5" x14ac:dyDescent="0.2">
      <c r="A1620" s="105" t="s">
        <v>2119</v>
      </c>
      <c r="B1620" s="106">
        <v>18.899999999999999</v>
      </c>
      <c r="C1620" s="87">
        <f t="shared" si="50"/>
        <v>-2.042490485204107E-2</v>
      </c>
      <c r="D1620" s="106">
        <v>53573.279999999999</v>
      </c>
      <c r="E1620" s="87">
        <f t="shared" si="51"/>
        <v>2.7678915539635085E-3</v>
      </c>
    </row>
    <row r="1621" spans="1:5" x14ac:dyDescent="0.2">
      <c r="A1621" s="105" t="s">
        <v>2120</v>
      </c>
      <c r="B1621" s="106">
        <v>18.899999999999999</v>
      </c>
      <c r="C1621" s="87">
        <f t="shared" si="50"/>
        <v>0</v>
      </c>
      <c r="D1621" s="106">
        <v>53654.99</v>
      </c>
      <c r="E1621" s="87">
        <f t="shared" si="51"/>
        <v>1.5240386852379828E-3</v>
      </c>
    </row>
    <row r="1622" spans="1:5" x14ac:dyDescent="0.2">
      <c r="A1622" s="105" t="s">
        <v>2121</v>
      </c>
      <c r="B1622" s="106">
        <v>18.850000000000001</v>
      </c>
      <c r="C1622" s="87">
        <f t="shared" si="50"/>
        <v>-2.64900817157665E-3</v>
      </c>
      <c r="D1622" s="106">
        <v>53431.86</v>
      </c>
      <c r="E1622" s="87">
        <f t="shared" si="51"/>
        <v>-4.1672777359682556E-3</v>
      </c>
    </row>
    <row r="1623" spans="1:5" x14ac:dyDescent="0.2">
      <c r="A1623" s="105" t="s">
        <v>2122</v>
      </c>
      <c r="B1623" s="106">
        <v>18.79</v>
      </c>
      <c r="C1623" s="87">
        <f t="shared" si="50"/>
        <v>-3.1881004686460379E-3</v>
      </c>
      <c r="D1623" s="106">
        <v>53582.55</v>
      </c>
      <c r="E1623" s="87">
        <f t="shared" si="51"/>
        <v>2.8162581020154676E-3</v>
      </c>
    </row>
    <row r="1624" spans="1:5" x14ac:dyDescent="0.2">
      <c r="A1624" s="105" t="s">
        <v>2123</v>
      </c>
      <c r="B1624" s="106">
        <v>18.809999999999999</v>
      </c>
      <c r="C1624" s="87">
        <f t="shared" si="50"/>
        <v>1.0638298875651486E-3</v>
      </c>
      <c r="D1624" s="106">
        <v>53498.26</v>
      </c>
      <c r="E1624" s="87">
        <f t="shared" si="51"/>
        <v>-1.5743253606217422E-3</v>
      </c>
    </row>
    <row r="1625" spans="1:5" x14ac:dyDescent="0.2">
      <c r="A1625" s="105" t="s">
        <v>2124</v>
      </c>
      <c r="B1625" s="106">
        <v>18.809999999999999</v>
      </c>
      <c r="C1625" s="87">
        <f t="shared" si="50"/>
        <v>0</v>
      </c>
      <c r="D1625" s="106">
        <v>53650.94</v>
      </c>
      <c r="E1625" s="87">
        <f t="shared" si="51"/>
        <v>2.8498598838844202E-3</v>
      </c>
    </row>
    <row r="1626" spans="1:5" x14ac:dyDescent="0.2">
      <c r="A1626" s="105" t="s">
        <v>2125</v>
      </c>
      <c r="B1626" s="106">
        <v>19.190000000000001</v>
      </c>
      <c r="C1626" s="87">
        <f t="shared" si="50"/>
        <v>2.0000666706669445E-2</v>
      </c>
      <c r="D1626" s="106">
        <v>53709.33</v>
      </c>
      <c r="E1626" s="87">
        <f t="shared" si="51"/>
        <v>1.0877395475468177E-3</v>
      </c>
    </row>
    <row r="1627" spans="1:5" x14ac:dyDescent="0.2">
      <c r="A1627" s="105" t="s">
        <v>2126</v>
      </c>
      <c r="B1627" s="106">
        <v>18.809999999999999</v>
      </c>
      <c r="C1627" s="87">
        <f t="shared" si="50"/>
        <v>-2.0000666706669445E-2</v>
      </c>
      <c r="D1627" s="106">
        <v>53409.72</v>
      </c>
      <c r="E1627" s="87">
        <f t="shared" si="51"/>
        <v>-5.5939775660309721E-3</v>
      </c>
    </row>
    <row r="1628" spans="1:5" x14ac:dyDescent="0.2">
      <c r="A1628" s="105" t="s">
        <v>2127</v>
      </c>
      <c r="B1628" s="106">
        <v>18.809999999999999</v>
      </c>
      <c r="C1628" s="87">
        <f t="shared" si="50"/>
        <v>0</v>
      </c>
      <c r="D1628" s="106">
        <v>53006.63</v>
      </c>
      <c r="E1628" s="87">
        <f t="shared" si="51"/>
        <v>-7.5757518058789941E-3</v>
      </c>
    </row>
    <row r="1629" spans="1:5" x14ac:dyDescent="0.2">
      <c r="A1629" s="105" t="s">
        <v>2128</v>
      </c>
      <c r="B1629" s="106">
        <v>19.350000000000001</v>
      </c>
      <c r="C1629" s="87">
        <f t="shared" si="50"/>
        <v>2.8303776162851957E-2</v>
      </c>
      <c r="D1629" s="106">
        <v>51907.77</v>
      </c>
      <c r="E1629" s="87">
        <f t="shared" si="51"/>
        <v>-2.0948510119168873E-2</v>
      </c>
    </row>
    <row r="1630" spans="1:5" x14ac:dyDescent="0.2">
      <c r="A1630" s="105" t="s">
        <v>2129</v>
      </c>
      <c r="B1630" s="106">
        <v>18.8</v>
      </c>
      <c r="C1630" s="87">
        <f t="shared" si="50"/>
        <v>-2.8835549639887326E-2</v>
      </c>
      <c r="D1630" s="106">
        <v>51368.63</v>
      </c>
      <c r="E1630" s="87">
        <f t="shared" si="51"/>
        <v>-1.0440815087600086E-2</v>
      </c>
    </row>
    <row r="1631" spans="1:5" x14ac:dyDescent="0.2">
      <c r="A1631" s="105" t="s">
        <v>2130</v>
      </c>
      <c r="B1631" s="106">
        <v>18.649999999999999</v>
      </c>
      <c r="C1631" s="87">
        <f t="shared" si="50"/>
        <v>-8.0107237460791403E-3</v>
      </c>
      <c r="D1631" s="106">
        <v>51295.58</v>
      </c>
      <c r="E1631" s="87">
        <f t="shared" si="51"/>
        <v>-1.4230862406332534E-3</v>
      </c>
    </row>
    <row r="1632" spans="1:5" x14ac:dyDescent="0.2">
      <c r="A1632" s="105" t="s">
        <v>2131</v>
      </c>
      <c r="B1632" s="106">
        <v>18.78</v>
      </c>
      <c r="C1632" s="87">
        <f t="shared" si="50"/>
        <v>6.9463276902923532E-3</v>
      </c>
      <c r="D1632" s="106">
        <v>51223.85</v>
      </c>
      <c r="E1632" s="87">
        <f t="shared" si="51"/>
        <v>-1.3993447233353606E-3</v>
      </c>
    </row>
    <row r="1633" spans="1:5" x14ac:dyDescent="0.2">
      <c r="A1633" s="105" t="s">
        <v>2132</v>
      </c>
      <c r="B1633" s="106">
        <v>18.78</v>
      </c>
      <c r="C1633" s="87">
        <f t="shared" si="50"/>
        <v>0</v>
      </c>
      <c r="D1633" s="106">
        <v>51485.36</v>
      </c>
      <c r="E1633" s="87">
        <f t="shared" si="51"/>
        <v>5.0922515147693304E-3</v>
      </c>
    </row>
    <row r="1634" spans="1:5" x14ac:dyDescent="0.2">
      <c r="A1634" s="105" t="s">
        <v>2133</v>
      </c>
      <c r="B1634" s="106">
        <v>17.05</v>
      </c>
      <c r="C1634" s="87">
        <f t="shared" si="50"/>
        <v>-9.6642270050591339E-2</v>
      </c>
      <c r="D1634" s="106">
        <v>51129.31</v>
      </c>
      <c r="E1634" s="87">
        <f t="shared" si="51"/>
        <v>-6.9395814239943121E-3</v>
      </c>
    </row>
    <row r="1635" spans="1:5" x14ac:dyDescent="0.2">
      <c r="A1635" s="105" t="s">
        <v>2134</v>
      </c>
      <c r="B1635" s="106">
        <v>18.84</v>
      </c>
      <c r="C1635" s="87">
        <f t="shared" si="50"/>
        <v>9.9832065418691496E-2</v>
      </c>
      <c r="D1635" s="106">
        <v>51115.26</v>
      </c>
      <c r="E1635" s="87">
        <f t="shared" si="51"/>
        <v>-2.7483122259575055E-4</v>
      </c>
    </row>
    <row r="1636" spans="1:5" x14ac:dyDescent="0.2">
      <c r="A1636" s="105" t="s">
        <v>2135</v>
      </c>
      <c r="B1636" s="106">
        <v>18.2</v>
      </c>
      <c r="C1636" s="87">
        <f t="shared" si="50"/>
        <v>-3.456067506546745E-2</v>
      </c>
      <c r="D1636" s="106">
        <v>50881.35</v>
      </c>
      <c r="E1636" s="87">
        <f t="shared" si="51"/>
        <v>-4.5866310668003507E-3</v>
      </c>
    </row>
    <row r="1637" spans="1:5" x14ac:dyDescent="0.2">
      <c r="A1637" s="105" t="s">
        <v>2136</v>
      </c>
      <c r="B1637" s="106">
        <v>16.600000000000001</v>
      </c>
      <c r="C1637" s="87">
        <f t="shared" si="50"/>
        <v>-9.2018898720251929E-2</v>
      </c>
      <c r="D1637" s="106">
        <v>51139.37</v>
      </c>
      <c r="E1637" s="87">
        <f t="shared" si="51"/>
        <v>5.0581989644449266E-3</v>
      </c>
    </row>
    <row r="1638" spans="1:5" x14ac:dyDescent="0.2">
      <c r="A1638" s="105" t="s">
        <v>2137</v>
      </c>
      <c r="B1638" s="106">
        <v>15.1</v>
      </c>
      <c r="C1638" s="87">
        <f t="shared" si="50"/>
        <v>-9.4707951541618929E-2</v>
      </c>
      <c r="D1638" s="106">
        <v>50411.42</v>
      </c>
      <c r="E1638" s="87">
        <f t="shared" si="51"/>
        <v>-1.4336913951300545E-2</v>
      </c>
    </row>
    <row r="1639" spans="1:5" x14ac:dyDescent="0.2">
      <c r="A1639" s="105" t="s">
        <v>2138</v>
      </c>
      <c r="B1639" s="106">
        <v>18.850000000000001</v>
      </c>
      <c r="C1639" s="87">
        <f t="shared" si="50"/>
        <v>0.2218181700731412</v>
      </c>
      <c r="D1639" s="106">
        <v>50693.75</v>
      </c>
      <c r="E1639" s="87">
        <f t="shared" si="51"/>
        <v>5.5848921246326455E-3</v>
      </c>
    </row>
    <row r="1640" spans="1:5" x14ac:dyDescent="0.2">
      <c r="A1640" s="105" t="s">
        <v>2139</v>
      </c>
      <c r="B1640" s="106">
        <v>17.600000000000001</v>
      </c>
      <c r="C1640" s="87">
        <f t="shared" si="50"/>
        <v>-6.861401184991367E-2</v>
      </c>
      <c r="D1640" s="106">
        <v>51123.43</v>
      </c>
      <c r="E1640" s="87">
        <f t="shared" si="51"/>
        <v>8.4402760084607564E-3</v>
      </c>
    </row>
    <row r="1641" spans="1:5" x14ac:dyDescent="0.2">
      <c r="A1641" s="105" t="s">
        <v>2140</v>
      </c>
      <c r="B1641" s="106">
        <v>17.600000000000001</v>
      </c>
      <c r="C1641" s="87">
        <f t="shared" si="50"/>
        <v>0</v>
      </c>
      <c r="D1641" s="106">
        <v>50380.35</v>
      </c>
      <c r="E1641" s="87">
        <f t="shared" si="51"/>
        <v>-1.464168674337607E-2</v>
      </c>
    </row>
    <row r="1642" spans="1:5" x14ac:dyDescent="0.2">
      <c r="A1642" s="105" t="s">
        <v>2141</v>
      </c>
      <c r="B1642" s="106">
        <v>17.600000000000001</v>
      </c>
      <c r="C1642" s="87">
        <f t="shared" si="50"/>
        <v>0</v>
      </c>
      <c r="D1642" s="106">
        <v>50269.7</v>
      </c>
      <c r="E1642" s="87">
        <f t="shared" si="51"/>
        <v>-2.1987081889456306E-3</v>
      </c>
    </row>
    <row r="1643" spans="1:5" x14ac:dyDescent="0.2">
      <c r="A1643" s="105" t="s">
        <v>2142</v>
      </c>
      <c r="B1643" s="106">
        <v>17.5</v>
      </c>
      <c r="C1643" s="87">
        <f t="shared" si="50"/>
        <v>-5.6980211146377968E-3</v>
      </c>
      <c r="D1643" s="106">
        <v>49647.48</v>
      </c>
      <c r="E1643" s="87">
        <f t="shared" si="51"/>
        <v>-1.2454875996576575E-2</v>
      </c>
    </row>
    <row r="1644" spans="1:5" x14ac:dyDescent="0.2">
      <c r="A1644" s="105" t="s">
        <v>2143</v>
      </c>
      <c r="B1644" s="106">
        <v>17</v>
      </c>
      <c r="C1644" s="87">
        <f t="shared" si="50"/>
        <v>-2.8987536873252395E-2</v>
      </c>
      <c r="D1644" s="106">
        <v>48474.03</v>
      </c>
      <c r="E1644" s="87">
        <f t="shared" si="51"/>
        <v>-2.3919443302169441E-2</v>
      </c>
    </row>
    <row r="1645" spans="1:5" x14ac:dyDescent="0.2">
      <c r="A1645" s="105" t="s">
        <v>479</v>
      </c>
      <c r="B1645" s="106">
        <v>16</v>
      </c>
      <c r="C1645" s="87">
        <f t="shared" si="50"/>
        <v>-6.062462181643502E-2</v>
      </c>
      <c r="D1645" s="106">
        <v>48404.21</v>
      </c>
      <c r="E1645" s="87">
        <f t="shared" si="51"/>
        <v>-1.4413972030933309E-3</v>
      </c>
    </row>
    <row r="1646" spans="1:5" x14ac:dyDescent="0.2">
      <c r="A1646" s="105" t="s">
        <v>2144</v>
      </c>
      <c r="B1646" s="106">
        <v>16</v>
      </c>
      <c r="C1646" s="87">
        <f t="shared" si="50"/>
        <v>0</v>
      </c>
      <c r="D1646" s="106">
        <v>48618.64</v>
      </c>
      <c r="E1646" s="87">
        <f t="shared" si="51"/>
        <v>4.4202030579629792E-3</v>
      </c>
    </row>
    <row r="1647" spans="1:5" x14ac:dyDescent="0.2">
      <c r="A1647" s="105" t="s">
        <v>2145</v>
      </c>
      <c r="B1647" s="106">
        <v>15.5</v>
      </c>
      <c r="C1647" s="87">
        <f t="shared" si="50"/>
        <v>-3.174869831458027E-2</v>
      </c>
      <c r="D1647" s="106">
        <v>48199.38</v>
      </c>
      <c r="E1647" s="87">
        <f t="shared" si="51"/>
        <v>-8.6608385654951547E-3</v>
      </c>
    </row>
    <row r="1648" spans="1:5" x14ac:dyDescent="0.2">
      <c r="A1648" s="105" t="s">
        <v>2146</v>
      </c>
      <c r="B1648" s="106">
        <v>15.5</v>
      </c>
      <c r="C1648" s="87">
        <f t="shared" si="50"/>
        <v>0</v>
      </c>
      <c r="D1648" s="106">
        <v>48231.47</v>
      </c>
      <c r="E1648" s="87">
        <f t="shared" si="51"/>
        <v>6.6555466812801001E-4</v>
      </c>
    </row>
    <row r="1649" spans="1:5" x14ac:dyDescent="0.2">
      <c r="A1649" s="105" t="s">
        <v>2147</v>
      </c>
      <c r="B1649" s="106">
        <v>15.3</v>
      </c>
      <c r="C1649" s="87">
        <f t="shared" si="50"/>
        <v>-1.2987195526811046E-2</v>
      </c>
      <c r="D1649" s="106">
        <v>47512.34</v>
      </c>
      <c r="E1649" s="87">
        <f t="shared" si="51"/>
        <v>-1.5022245796576073E-2</v>
      </c>
    </row>
    <row r="1650" spans="1:5" x14ac:dyDescent="0.2">
      <c r="A1650" s="105" t="s">
        <v>2148</v>
      </c>
      <c r="B1650" s="106">
        <v>15.3</v>
      </c>
      <c r="C1650" s="87">
        <f t="shared" si="50"/>
        <v>0</v>
      </c>
      <c r="D1650" s="106">
        <v>47634.64</v>
      </c>
      <c r="E1650" s="87">
        <f t="shared" si="51"/>
        <v>2.5707608870995102E-3</v>
      </c>
    </row>
    <row r="1651" spans="1:5" x14ac:dyDescent="0.2">
      <c r="A1651" s="105" t="s">
        <v>2149</v>
      </c>
      <c r="B1651" s="106">
        <v>13.04</v>
      </c>
      <c r="C1651" s="87">
        <f t="shared" si="50"/>
        <v>-0.15983127189988311</v>
      </c>
      <c r="D1651" s="106">
        <v>47539.85</v>
      </c>
      <c r="E1651" s="87">
        <f t="shared" si="51"/>
        <v>-1.9919209725607345E-3</v>
      </c>
    </row>
    <row r="1652" spans="1:5" x14ac:dyDescent="0.2">
      <c r="A1652" s="105" t="s">
        <v>2150</v>
      </c>
      <c r="B1652" s="106">
        <v>13</v>
      </c>
      <c r="C1652" s="87">
        <f t="shared" si="50"/>
        <v>-3.0721990369699803E-3</v>
      </c>
      <c r="D1652" s="106">
        <v>48214.73</v>
      </c>
      <c r="E1652" s="87">
        <f t="shared" si="51"/>
        <v>1.4096269340253542E-2</v>
      </c>
    </row>
    <row r="1653" spans="1:5" x14ac:dyDescent="0.2">
      <c r="A1653" s="105" t="s">
        <v>2151</v>
      </c>
      <c r="B1653" s="106">
        <v>16</v>
      </c>
      <c r="C1653" s="87">
        <f t="shared" si="50"/>
        <v>0.20763936477824441</v>
      </c>
      <c r="D1653" s="106">
        <v>47899.61</v>
      </c>
      <c r="E1653" s="87">
        <f t="shared" si="51"/>
        <v>-6.5572136083282828E-3</v>
      </c>
    </row>
    <row r="1654" spans="1:5" x14ac:dyDescent="0.2">
      <c r="A1654" s="105" t="s">
        <v>2152</v>
      </c>
      <c r="B1654" s="106">
        <v>15.5</v>
      </c>
      <c r="C1654" s="87">
        <f t="shared" si="50"/>
        <v>-3.174869831458027E-2</v>
      </c>
      <c r="D1654" s="106">
        <v>49158.8</v>
      </c>
      <c r="E1654" s="87">
        <f t="shared" si="51"/>
        <v>2.5948511889097858E-2</v>
      </c>
    </row>
    <row r="1655" spans="1:5" x14ac:dyDescent="0.2">
      <c r="A1655" s="105" t="s">
        <v>2153</v>
      </c>
      <c r="B1655" s="106">
        <v>15.5</v>
      </c>
      <c r="C1655" s="87">
        <f t="shared" si="50"/>
        <v>0</v>
      </c>
      <c r="D1655" s="106">
        <v>48508.91</v>
      </c>
      <c r="E1655" s="87">
        <f t="shared" si="51"/>
        <v>-1.3308381899618027E-2</v>
      </c>
    </row>
    <row r="1656" spans="1:5" x14ac:dyDescent="0.2">
      <c r="A1656" s="105" t="s">
        <v>2154</v>
      </c>
      <c r="B1656" s="106">
        <v>15.55</v>
      </c>
      <c r="C1656" s="87">
        <f t="shared" si="50"/>
        <v>3.2206147000422014E-3</v>
      </c>
      <c r="D1656" s="106">
        <v>47303.15</v>
      </c>
      <c r="E1656" s="87">
        <f t="shared" si="51"/>
        <v>-2.5170602935817854E-2</v>
      </c>
    </row>
    <row r="1657" spans="1:5" x14ac:dyDescent="0.2">
      <c r="A1657" s="105" t="s">
        <v>2155</v>
      </c>
      <c r="B1657" s="106">
        <v>14</v>
      </c>
      <c r="C1657" s="87">
        <f t="shared" si="50"/>
        <v>-0.10500330900998467</v>
      </c>
      <c r="D1657" s="106">
        <v>47924.95</v>
      </c>
      <c r="E1657" s="87">
        <f t="shared" si="51"/>
        <v>1.3059356159383029E-2</v>
      </c>
    </row>
    <row r="1658" spans="1:5" x14ac:dyDescent="0.2">
      <c r="A1658" s="105" t="s">
        <v>2156</v>
      </c>
      <c r="B1658" s="106">
        <v>15.55</v>
      </c>
      <c r="C1658" s="87">
        <f t="shared" si="50"/>
        <v>0.10500330900998467</v>
      </c>
      <c r="D1658" s="106">
        <v>47762.81</v>
      </c>
      <c r="E1658" s="87">
        <f t="shared" si="51"/>
        <v>-3.388942434863651E-3</v>
      </c>
    </row>
    <row r="1659" spans="1:5" x14ac:dyDescent="0.2">
      <c r="A1659" s="105" t="s">
        <v>2157</v>
      </c>
      <c r="B1659" s="106">
        <v>14</v>
      </c>
      <c r="C1659" s="87">
        <f t="shared" si="50"/>
        <v>-0.10500330900998467</v>
      </c>
      <c r="D1659" s="106">
        <v>48014.44</v>
      </c>
      <c r="E1659" s="87">
        <f t="shared" si="51"/>
        <v>5.2544958004681064E-3</v>
      </c>
    </row>
    <row r="1660" spans="1:5" x14ac:dyDescent="0.2">
      <c r="A1660" s="105" t="s">
        <v>2158</v>
      </c>
      <c r="B1660" s="106">
        <v>12.8</v>
      </c>
      <c r="C1660" s="87">
        <f t="shared" si="50"/>
        <v>-8.9612158689686972E-2</v>
      </c>
      <c r="D1660" s="106">
        <v>48017.65</v>
      </c>
      <c r="E1660" s="87">
        <f t="shared" si="51"/>
        <v>6.6852653132443152E-5</v>
      </c>
    </row>
    <row r="1661" spans="1:5" x14ac:dyDescent="0.2">
      <c r="A1661" s="105" t="s">
        <v>2159</v>
      </c>
      <c r="B1661" s="106">
        <v>12.61</v>
      </c>
      <c r="C1661" s="87">
        <f t="shared" si="50"/>
        <v>-1.4955020948743236E-2</v>
      </c>
      <c r="D1661" s="106">
        <v>47399.32</v>
      </c>
      <c r="E1661" s="87">
        <f t="shared" si="51"/>
        <v>-1.296076904651855E-2</v>
      </c>
    </row>
    <row r="1662" spans="1:5" x14ac:dyDescent="0.2">
      <c r="A1662" s="105" t="s">
        <v>2160</v>
      </c>
      <c r="B1662" s="106">
        <v>13.99</v>
      </c>
      <c r="C1662" s="87">
        <f t="shared" si="50"/>
        <v>0.10385263870056161</v>
      </c>
      <c r="D1662" s="106">
        <v>47278.65</v>
      </c>
      <c r="E1662" s="87">
        <f t="shared" si="51"/>
        <v>-2.5490632158682303E-3</v>
      </c>
    </row>
    <row r="1663" spans="1:5" x14ac:dyDescent="0.2">
      <c r="A1663" s="105" t="s">
        <v>2161</v>
      </c>
      <c r="B1663" s="106">
        <v>15.54</v>
      </c>
      <c r="C1663" s="87">
        <f t="shared" si="50"/>
        <v>0.1050745562621116</v>
      </c>
      <c r="D1663" s="106">
        <v>46797.85</v>
      </c>
      <c r="E1663" s="87">
        <f t="shared" si="51"/>
        <v>-1.0221557693316896E-2</v>
      </c>
    </row>
    <row r="1664" spans="1:5" x14ac:dyDescent="0.2">
      <c r="A1664" s="105" t="s">
        <v>2162</v>
      </c>
      <c r="B1664" s="106">
        <v>14.5</v>
      </c>
      <c r="C1664" s="87">
        <f t="shared" si="50"/>
        <v>-6.9268695512972656E-2</v>
      </c>
      <c r="D1664" s="106">
        <v>46756.18</v>
      </c>
      <c r="E1664" s="87">
        <f t="shared" si="51"/>
        <v>-8.9082218597447138E-4</v>
      </c>
    </row>
    <row r="1665" spans="1:5" x14ac:dyDescent="0.2">
      <c r="A1665" s="105" t="s">
        <v>2163</v>
      </c>
      <c r="B1665" s="106">
        <v>15.54</v>
      </c>
      <c r="C1665" s="87">
        <f t="shared" si="50"/>
        <v>6.9268695512972656E-2</v>
      </c>
      <c r="D1665" s="106">
        <v>47326.14</v>
      </c>
      <c r="E1665" s="87">
        <f t="shared" si="51"/>
        <v>1.2116346041871395E-2</v>
      </c>
    </row>
    <row r="1666" spans="1:5" x14ac:dyDescent="0.2">
      <c r="A1666" s="105" t="s">
        <v>482</v>
      </c>
      <c r="B1666" s="106">
        <v>15.49</v>
      </c>
      <c r="C1666" s="87">
        <f t="shared" si="50"/>
        <v>-3.2226905107242132E-3</v>
      </c>
      <c r="D1666" s="106">
        <v>47221.32</v>
      </c>
      <c r="E1666" s="87">
        <f t="shared" si="51"/>
        <v>-2.2173000299510193E-3</v>
      </c>
    </row>
    <row r="1667" spans="1:5" x14ac:dyDescent="0.2">
      <c r="A1667" s="105" t="s">
        <v>2164</v>
      </c>
      <c r="B1667" s="106">
        <v>15.5</v>
      </c>
      <c r="C1667" s="87">
        <f t="shared" si="50"/>
        <v>6.4536949642368668E-4</v>
      </c>
      <c r="D1667" s="106">
        <v>47989.59</v>
      </c>
      <c r="E1667" s="87">
        <f t="shared" si="51"/>
        <v>1.613862686378198E-2</v>
      </c>
    </row>
    <row r="1668" spans="1:5" x14ac:dyDescent="0.2">
      <c r="A1668" s="105" t="s">
        <v>2165</v>
      </c>
      <c r="B1668" s="106">
        <v>15.5</v>
      </c>
      <c r="C1668" s="87">
        <f t="shared" si="50"/>
        <v>0</v>
      </c>
      <c r="D1668" s="106">
        <v>47427.99</v>
      </c>
      <c r="E1668" s="87">
        <f t="shared" si="51"/>
        <v>-1.1771551637218991E-2</v>
      </c>
    </row>
    <row r="1669" spans="1:5" x14ac:dyDescent="0.2">
      <c r="A1669" s="105" t="s">
        <v>2166</v>
      </c>
      <c r="B1669" s="106">
        <v>14.99</v>
      </c>
      <c r="C1669" s="87">
        <f t="shared" ref="C1669:C1732" si="52">LN(B1669)-LN(B1668)</f>
        <v>-3.3456711810694539E-2</v>
      </c>
      <c r="D1669" s="106">
        <v>47456.36</v>
      </c>
      <c r="E1669" s="87">
        <f t="shared" ref="E1669:E1732" si="53">LN(D1669)-LN(D1668)</f>
        <v>5.9799115123659874E-4</v>
      </c>
    </row>
    <row r="1670" spans="1:5" x14ac:dyDescent="0.2">
      <c r="A1670" s="105" t="s">
        <v>2167</v>
      </c>
      <c r="B1670" s="106">
        <v>15.55</v>
      </c>
      <c r="C1670" s="87">
        <f t="shared" si="52"/>
        <v>3.6677326510736741E-2</v>
      </c>
      <c r="D1670" s="106">
        <v>47967.07</v>
      </c>
      <c r="E1670" s="87">
        <f t="shared" si="53"/>
        <v>1.0704181905831334E-2</v>
      </c>
    </row>
    <row r="1671" spans="1:5" x14ac:dyDescent="0.2">
      <c r="A1671" s="105" t="s">
        <v>2168</v>
      </c>
      <c r="B1671" s="106">
        <v>15.55</v>
      </c>
      <c r="C1671" s="87">
        <f t="shared" si="52"/>
        <v>0</v>
      </c>
      <c r="D1671" s="106">
        <v>48006.75</v>
      </c>
      <c r="E1671" s="87">
        <f t="shared" si="53"/>
        <v>8.2689221416565317E-4</v>
      </c>
    </row>
    <row r="1672" spans="1:5" x14ac:dyDescent="0.2">
      <c r="A1672" s="105" t="s">
        <v>2169</v>
      </c>
      <c r="B1672" s="106">
        <v>15.55</v>
      </c>
      <c r="C1672" s="87">
        <f t="shared" si="52"/>
        <v>0</v>
      </c>
      <c r="D1672" s="106">
        <v>48463.51</v>
      </c>
      <c r="E1672" s="87">
        <f t="shared" si="53"/>
        <v>9.4695176150896287E-3</v>
      </c>
    </row>
    <row r="1673" spans="1:5" x14ac:dyDescent="0.2">
      <c r="A1673" s="105" t="s">
        <v>2170</v>
      </c>
      <c r="B1673" s="106">
        <v>15.48</v>
      </c>
      <c r="C1673" s="87">
        <f t="shared" si="52"/>
        <v>-4.5117704636621347E-3</v>
      </c>
      <c r="D1673" s="106">
        <v>48631.44</v>
      </c>
      <c r="E1673" s="87">
        <f t="shared" si="53"/>
        <v>3.4590916920933523E-3</v>
      </c>
    </row>
    <row r="1674" spans="1:5" x14ac:dyDescent="0.2">
      <c r="A1674" s="105" t="s">
        <v>2171</v>
      </c>
      <c r="B1674" s="106">
        <v>15</v>
      </c>
      <c r="C1674" s="87">
        <f t="shared" si="52"/>
        <v>-3.1498667059370877E-2</v>
      </c>
      <c r="D1674" s="106">
        <v>48260.19</v>
      </c>
      <c r="E1674" s="87">
        <f t="shared" si="53"/>
        <v>-7.6632381312951026E-3</v>
      </c>
    </row>
    <row r="1675" spans="1:5" x14ac:dyDescent="0.2">
      <c r="A1675" s="105" t="s">
        <v>2172</v>
      </c>
      <c r="B1675" s="106">
        <v>15</v>
      </c>
      <c r="C1675" s="87">
        <f t="shared" si="52"/>
        <v>0</v>
      </c>
      <c r="D1675" s="106">
        <v>46762.239999999998</v>
      </c>
      <c r="E1675" s="87">
        <f t="shared" si="53"/>
        <v>-3.1530957548895344E-2</v>
      </c>
    </row>
    <row r="1676" spans="1:5" x14ac:dyDescent="0.2">
      <c r="A1676" s="105" t="s">
        <v>2173</v>
      </c>
      <c r="B1676" s="106">
        <v>15</v>
      </c>
      <c r="C1676" s="87">
        <f t="shared" si="52"/>
        <v>0</v>
      </c>
      <c r="D1676" s="106">
        <v>46118.19</v>
      </c>
      <c r="E1676" s="87">
        <f t="shared" si="53"/>
        <v>-1.3868590464038988E-2</v>
      </c>
    </row>
    <row r="1677" spans="1:5" x14ac:dyDescent="0.2">
      <c r="A1677" s="105" t="s">
        <v>2174</v>
      </c>
      <c r="B1677" s="106">
        <v>14.5</v>
      </c>
      <c r="C1677" s="87">
        <f t="shared" si="52"/>
        <v>-3.3901551675681318E-2</v>
      </c>
      <c r="D1677" s="106">
        <v>44875.62</v>
      </c>
      <c r="E1677" s="87">
        <f t="shared" si="53"/>
        <v>-2.7312786315086157E-2</v>
      </c>
    </row>
    <row r="1678" spans="1:5" x14ac:dyDescent="0.2">
      <c r="A1678" s="105" t="s">
        <v>2175</v>
      </c>
      <c r="B1678" s="106">
        <v>14.5</v>
      </c>
      <c r="C1678" s="87">
        <f t="shared" si="52"/>
        <v>0</v>
      </c>
      <c r="D1678" s="106">
        <v>44024.66</v>
      </c>
      <c r="E1678" s="87">
        <f t="shared" si="53"/>
        <v>-1.9144731401265602E-2</v>
      </c>
    </row>
    <row r="1679" spans="1:5" x14ac:dyDescent="0.2">
      <c r="A1679" s="105" t="s">
        <v>2176</v>
      </c>
      <c r="B1679" s="106">
        <v>15.51</v>
      </c>
      <c r="C1679" s="87">
        <f t="shared" si="52"/>
        <v>6.7336327761918557E-2</v>
      </c>
      <c r="D1679" s="106">
        <v>43549.58</v>
      </c>
      <c r="E1679" s="87">
        <f t="shared" si="53"/>
        <v>-1.0849872302973296E-2</v>
      </c>
    </row>
    <row r="1680" spans="1:5" x14ac:dyDescent="0.2">
      <c r="A1680" s="105" t="s">
        <v>2177</v>
      </c>
      <c r="B1680" s="106">
        <v>14.01</v>
      </c>
      <c r="C1680" s="87">
        <f t="shared" si="52"/>
        <v>-0.10171361683953162</v>
      </c>
      <c r="D1680" s="106">
        <v>44294.15</v>
      </c>
      <c r="E1680" s="87">
        <f t="shared" si="53"/>
        <v>1.6952554990346869E-2</v>
      </c>
    </row>
    <row r="1681" spans="1:5" x14ac:dyDescent="0.2">
      <c r="A1681" s="105" t="s">
        <v>2178</v>
      </c>
      <c r="B1681" s="106">
        <v>15.5</v>
      </c>
      <c r="C1681" s="87">
        <f t="shared" si="52"/>
        <v>0.10106866357628519</v>
      </c>
      <c r="D1681" s="106">
        <v>46826.85</v>
      </c>
      <c r="E1681" s="87">
        <f t="shared" si="53"/>
        <v>5.5604142203998563E-2</v>
      </c>
    </row>
    <row r="1682" spans="1:5" x14ac:dyDescent="0.2">
      <c r="A1682" s="105" t="s">
        <v>2179</v>
      </c>
      <c r="B1682" s="106">
        <v>15.5</v>
      </c>
      <c r="C1682" s="87">
        <f t="shared" si="52"/>
        <v>0</v>
      </c>
      <c r="D1682" s="106">
        <v>46196.74</v>
      </c>
      <c r="E1682" s="87">
        <f t="shared" si="53"/>
        <v>-1.3547523531634909E-2</v>
      </c>
    </row>
    <row r="1683" spans="1:5" x14ac:dyDescent="0.2">
      <c r="A1683" s="105" t="s">
        <v>2180</v>
      </c>
      <c r="B1683" s="106">
        <v>15.58</v>
      </c>
      <c r="C1683" s="87">
        <f t="shared" si="52"/>
        <v>5.148016517401377E-3</v>
      </c>
      <c r="D1683" s="106">
        <v>44729.08</v>
      </c>
      <c r="E1683" s="87">
        <f t="shared" si="53"/>
        <v>-3.2285383445779914E-2</v>
      </c>
    </row>
    <row r="1684" spans="1:5" x14ac:dyDescent="0.2">
      <c r="A1684" s="105" t="s">
        <v>2181</v>
      </c>
      <c r="B1684" s="106">
        <v>16.11</v>
      </c>
      <c r="C1684" s="87">
        <f t="shared" si="52"/>
        <v>3.3452156746280881E-2</v>
      </c>
      <c r="D1684" s="106">
        <v>46551.54</v>
      </c>
      <c r="E1684" s="87">
        <f t="shared" si="53"/>
        <v>3.9936236500940581E-2</v>
      </c>
    </row>
    <row r="1685" spans="1:5" x14ac:dyDescent="0.2">
      <c r="A1685" s="105" t="s">
        <v>485</v>
      </c>
      <c r="B1685" s="106">
        <v>17.899999999999999</v>
      </c>
      <c r="C1685" s="87">
        <f t="shared" si="52"/>
        <v>0.10536051565782589</v>
      </c>
      <c r="D1685" s="106">
        <v>44700.67</v>
      </c>
      <c r="E1685" s="87">
        <f t="shared" si="53"/>
        <v>-4.0571595561111451E-2</v>
      </c>
    </row>
    <row r="1686" spans="1:5" x14ac:dyDescent="0.2">
      <c r="A1686" s="105" t="s">
        <v>2182</v>
      </c>
      <c r="B1686" s="106">
        <v>19.27</v>
      </c>
      <c r="C1686" s="87">
        <f t="shared" si="52"/>
        <v>7.3748769579565998E-2</v>
      </c>
      <c r="D1686" s="106">
        <v>46572.23</v>
      </c>
      <c r="E1686" s="87">
        <f t="shared" si="53"/>
        <v>4.1015950430775661E-2</v>
      </c>
    </row>
    <row r="1687" spans="1:5" x14ac:dyDescent="0.2">
      <c r="A1687" s="105" t="s">
        <v>2183</v>
      </c>
      <c r="B1687" s="106">
        <v>17.95</v>
      </c>
      <c r="C1687" s="87">
        <f t="shared" si="52"/>
        <v>-7.095936749198728E-2</v>
      </c>
      <c r="D1687" s="106">
        <v>46634.55</v>
      </c>
      <c r="E1687" s="87">
        <f t="shared" si="53"/>
        <v>1.337241975031489E-3</v>
      </c>
    </row>
    <row r="1688" spans="1:5" x14ac:dyDescent="0.2">
      <c r="A1688" s="105" t="s">
        <v>2184</v>
      </c>
      <c r="B1688" s="106">
        <v>18</v>
      </c>
      <c r="C1688" s="87">
        <f t="shared" si="52"/>
        <v>2.7816429618767735E-3</v>
      </c>
      <c r="D1688" s="106">
        <v>46695.37</v>
      </c>
      <c r="E1688" s="87">
        <f t="shared" si="53"/>
        <v>1.3033335635448395E-3</v>
      </c>
    </row>
    <row r="1689" spans="1:5" x14ac:dyDescent="0.2">
      <c r="A1689" s="105" t="s">
        <v>2185</v>
      </c>
      <c r="B1689" s="106">
        <v>17.3</v>
      </c>
      <c r="C1689" s="87">
        <f t="shared" si="52"/>
        <v>-3.9665256392431125E-2</v>
      </c>
      <c r="D1689" s="106">
        <v>46275.18</v>
      </c>
      <c r="E1689" s="87">
        <f t="shared" si="53"/>
        <v>-9.0392680495625655E-3</v>
      </c>
    </row>
    <row r="1690" spans="1:5" x14ac:dyDescent="0.2">
      <c r="A1690" s="105" t="s">
        <v>2186</v>
      </c>
      <c r="B1690" s="106">
        <v>17</v>
      </c>
      <c r="C1690" s="87">
        <f t="shared" si="52"/>
        <v>-1.7493157447517227E-2</v>
      </c>
      <c r="D1690" s="106">
        <v>46042.23</v>
      </c>
      <c r="E1690" s="87">
        <f t="shared" si="53"/>
        <v>-5.0467294181242295E-3</v>
      </c>
    </row>
    <row r="1691" spans="1:5" x14ac:dyDescent="0.2">
      <c r="A1691" s="105" t="s">
        <v>2187</v>
      </c>
      <c r="B1691" s="106">
        <v>16.8</v>
      </c>
      <c r="C1691" s="87">
        <f t="shared" si="52"/>
        <v>-1.1834457647002861E-2</v>
      </c>
      <c r="D1691" s="106">
        <v>45784.76</v>
      </c>
      <c r="E1691" s="87">
        <f t="shared" si="53"/>
        <v>-5.6077341686684434E-3</v>
      </c>
    </row>
    <row r="1692" spans="1:5" x14ac:dyDescent="0.2">
      <c r="A1692" s="105" t="s">
        <v>2188</v>
      </c>
      <c r="B1692" s="106">
        <v>16.29</v>
      </c>
      <c r="C1692" s="87">
        <f t="shared" si="52"/>
        <v>-3.0827463795259469E-2</v>
      </c>
      <c r="D1692" s="106">
        <v>45751.68</v>
      </c>
      <c r="E1692" s="87">
        <f t="shared" si="53"/>
        <v>-7.2277229571149348E-4</v>
      </c>
    </row>
    <row r="1693" spans="1:5" x14ac:dyDescent="0.2">
      <c r="A1693" s="105" t="s">
        <v>2189</v>
      </c>
      <c r="B1693" s="106">
        <v>15.5</v>
      </c>
      <c r="C1693" s="87">
        <f t="shared" si="52"/>
        <v>-4.9711398688752961E-2</v>
      </c>
      <c r="D1693" s="106">
        <v>46609.83</v>
      </c>
      <c r="E1693" s="87">
        <f t="shared" si="53"/>
        <v>1.8582950733213366E-2</v>
      </c>
    </row>
    <row r="1694" spans="1:5" x14ac:dyDescent="0.2">
      <c r="A1694" s="105" t="s">
        <v>2190</v>
      </c>
      <c r="B1694" s="106">
        <v>15.5</v>
      </c>
      <c r="C1694" s="87">
        <f t="shared" si="52"/>
        <v>0</v>
      </c>
      <c r="D1694" s="106">
        <v>46711.75</v>
      </c>
      <c r="E1694" s="87">
        <f t="shared" si="53"/>
        <v>2.1842759310803928E-3</v>
      </c>
    </row>
    <row r="1695" spans="1:5" x14ac:dyDescent="0.2">
      <c r="A1695" s="105" t="s">
        <v>2191</v>
      </c>
      <c r="B1695" s="106">
        <v>15</v>
      </c>
      <c r="C1695" s="87">
        <f t="shared" si="52"/>
        <v>-3.2789822822990811E-2</v>
      </c>
      <c r="D1695" s="106">
        <v>46825.77</v>
      </c>
      <c r="E1695" s="87">
        <f t="shared" si="53"/>
        <v>2.4379533790135355E-3</v>
      </c>
    </row>
    <row r="1696" spans="1:5" x14ac:dyDescent="0.2">
      <c r="A1696" s="105" t="s">
        <v>2192</v>
      </c>
      <c r="B1696" s="106">
        <v>15</v>
      </c>
      <c r="C1696" s="87">
        <f t="shared" si="52"/>
        <v>0</v>
      </c>
      <c r="D1696" s="106">
        <v>46063.67</v>
      </c>
      <c r="E1696" s="87">
        <f t="shared" si="53"/>
        <v>-1.64091225037577E-2</v>
      </c>
    </row>
    <row r="1697" spans="1:5" x14ac:dyDescent="0.2">
      <c r="A1697" s="105" t="s">
        <v>2193</v>
      </c>
      <c r="B1697" s="106">
        <v>15.5</v>
      </c>
      <c r="C1697" s="87">
        <f t="shared" si="52"/>
        <v>3.2789822822990811E-2</v>
      </c>
      <c r="D1697" s="106">
        <v>46053.07</v>
      </c>
      <c r="E1697" s="87">
        <f t="shared" si="53"/>
        <v>-2.301427524855626E-4</v>
      </c>
    </row>
    <row r="1698" spans="1:5" x14ac:dyDescent="0.2">
      <c r="A1698" s="105" t="s">
        <v>2194</v>
      </c>
      <c r="B1698" s="106">
        <v>15.15</v>
      </c>
      <c r="C1698" s="87">
        <f t="shared" si="52"/>
        <v>-2.283949196982249E-2</v>
      </c>
      <c r="D1698" s="106">
        <v>46178.720000000001</v>
      </c>
      <c r="E1698" s="87">
        <f t="shared" si="53"/>
        <v>2.7246587696705404E-3</v>
      </c>
    </row>
    <row r="1699" spans="1:5" x14ac:dyDescent="0.2">
      <c r="A1699" s="105" t="s">
        <v>2195</v>
      </c>
      <c r="B1699" s="106">
        <v>14</v>
      </c>
      <c r="C1699" s="87">
        <f t="shared" si="52"/>
        <v>-7.8943202340119978E-2</v>
      </c>
      <c r="D1699" s="106">
        <v>46628.94</v>
      </c>
      <c r="E1699" s="87">
        <f t="shared" si="53"/>
        <v>9.7022924996341686E-3</v>
      </c>
    </row>
    <row r="1700" spans="1:5" x14ac:dyDescent="0.2">
      <c r="A1700" s="105" t="s">
        <v>2196</v>
      </c>
      <c r="B1700" s="106">
        <v>14.48</v>
      </c>
      <c r="C1700" s="87">
        <f t="shared" si="52"/>
        <v>3.3711057342312056E-2</v>
      </c>
      <c r="D1700" s="106">
        <v>46663.67</v>
      </c>
      <c r="E1700" s="87">
        <f t="shared" si="53"/>
        <v>7.4453917849126583E-4</v>
      </c>
    </row>
    <row r="1701" spans="1:5" x14ac:dyDescent="0.2">
      <c r="A1701" s="105" t="s">
        <v>2197</v>
      </c>
      <c r="B1701" s="106">
        <v>14</v>
      </c>
      <c r="C1701" s="87">
        <f t="shared" si="52"/>
        <v>-3.3711057342312056E-2</v>
      </c>
      <c r="D1701" s="106">
        <v>46430.16</v>
      </c>
      <c r="E1701" s="87">
        <f t="shared" si="53"/>
        <v>-5.0166695199482803E-3</v>
      </c>
    </row>
    <row r="1702" spans="1:5" x14ac:dyDescent="0.2">
      <c r="A1702" s="105" t="s">
        <v>2198</v>
      </c>
      <c r="B1702" s="106">
        <v>13.85</v>
      </c>
      <c r="C1702" s="87">
        <f t="shared" si="52"/>
        <v>-1.0772096981910728E-2</v>
      </c>
      <c r="D1702" s="106">
        <v>47020.92</v>
      </c>
      <c r="E1702" s="87">
        <f t="shared" si="53"/>
        <v>1.2643360988869645E-2</v>
      </c>
    </row>
    <row r="1703" spans="1:5" x14ac:dyDescent="0.2">
      <c r="A1703" s="105" t="s">
        <v>2199</v>
      </c>
      <c r="B1703" s="106">
        <v>14</v>
      </c>
      <c r="C1703" s="87">
        <f t="shared" si="52"/>
        <v>1.0772096981910728E-2</v>
      </c>
      <c r="D1703" s="106">
        <v>47720.21</v>
      </c>
      <c r="E1703" s="87">
        <f t="shared" si="53"/>
        <v>1.4762388828033934E-2</v>
      </c>
    </row>
    <row r="1704" spans="1:5" x14ac:dyDescent="0.2">
      <c r="A1704" s="105" t="s">
        <v>2200</v>
      </c>
      <c r="B1704" s="106">
        <v>13.85</v>
      </c>
      <c r="C1704" s="87">
        <f t="shared" si="52"/>
        <v>-1.0772096981910728E-2</v>
      </c>
      <c r="D1704" s="106">
        <v>48446.39</v>
      </c>
      <c r="E1704" s="87">
        <f t="shared" si="53"/>
        <v>1.5102827866249058E-2</v>
      </c>
    </row>
    <row r="1705" spans="1:5" x14ac:dyDescent="0.2">
      <c r="A1705" s="105" t="s">
        <v>2201</v>
      </c>
      <c r="B1705" s="106">
        <v>13.85</v>
      </c>
      <c r="C1705" s="87">
        <f t="shared" si="52"/>
        <v>0</v>
      </c>
      <c r="D1705" s="106">
        <v>49017.35</v>
      </c>
      <c r="E1705" s="87">
        <f t="shared" si="53"/>
        <v>1.1716491314311739E-2</v>
      </c>
    </row>
    <row r="1706" spans="1:5" x14ac:dyDescent="0.2">
      <c r="A1706" s="105" t="s">
        <v>2202</v>
      </c>
      <c r="B1706" s="106">
        <v>13.85</v>
      </c>
      <c r="C1706" s="87">
        <f t="shared" si="52"/>
        <v>0</v>
      </c>
      <c r="D1706" s="106">
        <v>48166.78</v>
      </c>
      <c r="E1706" s="87">
        <f t="shared" si="53"/>
        <v>-1.75047452483863E-2</v>
      </c>
    </row>
    <row r="1707" spans="1:5" x14ac:dyDescent="0.2">
      <c r="A1707" s="105" t="s">
        <v>2203</v>
      </c>
      <c r="B1707" s="106">
        <v>13.85</v>
      </c>
      <c r="C1707" s="87">
        <f t="shared" si="52"/>
        <v>0</v>
      </c>
      <c r="D1707" s="106">
        <v>48211.45</v>
      </c>
      <c r="E1707" s="87">
        <f t="shared" si="53"/>
        <v>9.2697289001186789E-4</v>
      </c>
    </row>
    <row r="1708" spans="1:5" x14ac:dyDescent="0.2">
      <c r="A1708" s="105" t="s">
        <v>2204</v>
      </c>
      <c r="B1708" s="106">
        <v>13.5</v>
      </c>
      <c r="C1708" s="87">
        <f t="shared" si="52"/>
        <v>-2.5595547188963952E-2</v>
      </c>
      <c r="D1708" s="106">
        <v>47833.39</v>
      </c>
      <c r="E1708" s="87">
        <f t="shared" si="53"/>
        <v>-7.8726135129425501E-3</v>
      </c>
    </row>
    <row r="1709" spans="1:5" x14ac:dyDescent="0.2">
      <c r="A1709" s="105" t="s">
        <v>2205</v>
      </c>
      <c r="B1709" s="106">
        <v>13.85</v>
      </c>
      <c r="C1709" s="87">
        <f t="shared" si="52"/>
        <v>2.5595547188963952E-2</v>
      </c>
      <c r="D1709" s="106">
        <v>47077.47</v>
      </c>
      <c r="E1709" s="87">
        <f t="shared" si="53"/>
        <v>-1.592938856949111E-2</v>
      </c>
    </row>
    <row r="1710" spans="1:5" x14ac:dyDescent="0.2">
      <c r="A1710" s="105" t="s">
        <v>2206</v>
      </c>
      <c r="B1710" s="106">
        <v>14</v>
      </c>
      <c r="C1710" s="87">
        <f t="shared" si="52"/>
        <v>1.0772096981910728E-2</v>
      </c>
      <c r="D1710" s="106">
        <v>47299.51</v>
      </c>
      <c r="E1710" s="87">
        <f t="shared" si="53"/>
        <v>4.7053934058318703E-3</v>
      </c>
    </row>
    <row r="1711" spans="1:5" x14ac:dyDescent="0.2">
      <c r="A1711" s="105" t="s">
        <v>2207</v>
      </c>
      <c r="B1711" s="106">
        <v>13.9</v>
      </c>
      <c r="C1711" s="87">
        <f t="shared" si="52"/>
        <v>-7.1684894786123721E-3</v>
      </c>
      <c r="D1711" s="106">
        <v>47182.13</v>
      </c>
      <c r="E1711" s="87">
        <f t="shared" si="53"/>
        <v>-2.4847168273165465E-3</v>
      </c>
    </row>
    <row r="1712" spans="1:5" x14ac:dyDescent="0.2">
      <c r="A1712" s="105" t="s">
        <v>2208</v>
      </c>
      <c r="B1712" s="106">
        <v>13.85</v>
      </c>
      <c r="C1712" s="87">
        <f t="shared" si="52"/>
        <v>-3.6036075032983561E-3</v>
      </c>
      <c r="D1712" s="106">
        <v>46686.74</v>
      </c>
      <c r="E1712" s="87">
        <f t="shared" si="53"/>
        <v>-1.0555034895459059E-2</v>
      </c>
    </row>
    <row r="1713" spans="1:5" x14ac:dyDescent="0.2">
      <c r="A1713" s="105" t="s">
        <v>2209</v>
      </c>
      <c r="B1713" s="106">
        <v>14</v>
      </c>
      <c r="C1713" s="87">
        <f t="shared" si="52"/>
        <v>1.0772096981910728E-2</v>
      </c>
      <c r="D1713" s="106">
        <v>46534.99</v>
      </c>
      <c r="E1713" s="87">
        <f t="shared" si="53"/>
        <v>-3.2556815677864392E-3</v>
      </c>
    </row>
    <row r="1714" spans="1:5" x14ac:dyDescent="0.2">
      <c r="A1714" s="105" t="s">
        <v>488</v>
      </c>
      <c r="B1714" s="106">
        <v>14</v>
      </c>
      <c r="C1714" s="87">
        <f t="shared" si="52"/>
        <v>0</v>
      </c>
      <c r="D1714" s="106">
        <v>45344.54</v>
      </c>
      <c r="E1714" s="87">
        <f t="shared" si="53"/>
        <v>-2.5914730345677484E-2</v>
      </c>
    </row>
    <row r="1715" spans="1:5" x14ac:dyDescent="0.2">
      <c r="A1715" s="105" t="s">
        <v>2210</v>
      </c>
      <c r="B1715" s="106">
        <v>13.8</v>
      </c>
      <c r="C1715" s="87">
        <f t="shared" si="52"/>
        <v>-1.4388737452099232E-2</v>
      </c>
      <c r="D1715" s="106">
        <v>45430.29</v>
      </c>
      <c r="E1715" s="87">
        <f t="shared" si="53"/>
        <v>1.8892907980436746E-3</v>
      </c>
    </row>
    <row r="1716" spans="1:5" x14ac:dyDescent="0.2">
      <c r="A1716" s="105" t="s">
        <v>2211</v>
      </c>
      <c r="B1716" s="106">
        <v>13.9</v>
      </c>
      <c r="C1716" s="87">
        <f t="shared" si="52"/>
        <v>7.2202479734868596E-3</v>
      </c>
      <c r="D1716" s="106">
        <v>45497.77</v>
      </c>
      <c r="E1716" s="87">
        <f t="shared" si="53"/>
        <v>1.4842505688168472E-3</v>
      </c>
    </row>
    <row r="1717" spans="1:5" x14ac:dyDescent="0.2">
      <c r="A1717" s="105" t="s">
        <v>2212</v>
      </c>
      <c r="B1717" s="106">
        <v>14.22</v>
      </c>
      <c r="C1717" s="87">
        <f t="shared" si="52"/>
        <v>2.2760584238448622E-2</v>
      </c>
      <c r="D1717" s="106">
        <v>45639.62</v>
      </c>
      <c r="E1717" s="87">
        <f t="shared" si="53"/>
        <v>3.1128851625989995E-3</v>
      </c>
    </row>
    <row r="1718" spans="1:5" x14ac:dyDescent="0.2">
      <c r="A1718" s="105" t="s">
        <v>2213</v>
      </c>
      <c r="B1718" s="106">
        <v>13.99</v>
      </c>
      <c r="C1718" s="87">
        <f t="shared" si="52"/>
        <v>-1.6306635697704852E-2</v>
      </c>
      <c r="D1718" s="106">
        <v>44288.45</v>
      </c>
      <c r="E1718" s="87">
        <f t="shared" si="53"/>
        <v>-3.0052278219935502E-2</v>
      </c>
    </row>
    <row r="1719" spans="1:5" x14ac:dyDescent="0.2">
      <c r="A1719" s="105" t="s">
        <v>2214</v>
      </c>
      <c r="B1719" s="106">
        <v>14</v>
      </c>
      <c r="C1719" s="87">
        <f t="shared" si="52"/>
        <v>7.1454093786860184E-4</v>
      </c>
      <c r="D1719" s="106">
        <v>44377.27</v>
      </c>
      <c r="E1719" s="87">
        <f t="shared" si="53"/>
        <v>2.0034807073088245E-3</v>
      </c>
    </row>
    <row r="1720" spans="1:5" x14ac:dyDescent="0.2">
      <c r="A1720" s="105" t="s">
        <v>2215</v>
      </c>
      <c r="B1720" s="106">
        <v>13</v>
      </c>
      <c r="C1720" s="87">
        <f t="shared" si="52"/>
        <v>-7.4107972153721668E-2</v>
      </c>
      <c r="D1720" s="106">
        <v>43849.4</v>
      </c>
      <c r="E1720" s="87">
        <f t="shared" si="53"/>
        <v>-1.1966365702472004E-2</v>
      </c>
    </row>
    <row r="1721" spans="1:5" x14ac:dyDescent="0.2">
      <c r="A1721" s="105" t="s">
        <v>2216</v>
      </c>
      <c r="B1721" s="106">
        <v>13.4</v>
      </c>
      <c r="C1721" s="87">
        <f t="shared" si="52"/>
        <v>3.0305349495328926E-2</v>
      </c>
      <c r="D1721" s="106">
        <v>43741.96</v>
      </c>
      <c r="E1721" s="87">
        <f t="shared" si="53"/>
        <v>-2.4532112273032425E-3</v>
      </c>
    </row>
    <row r="1722" spans="1:5" x14ac:dyDescent="0.2">
      <c r="A1722" s="105" t="s">
        <v>2217</v>
      </c>
      <c r="B1722" s="106">
        <v>13.49</v>
      </c>
      <c r="C1722" s="87">
        <f t="shared" si="52"/>
        <v>6.6939632627986967E-3</v>
      </c>
      <c r="D1722" s="106">
        <v>43858.58</v>
      </c>
      <c r="E1722" s="87">
        <f t="shared" si="53"/>
        <v>2.6625422376298502E-3</v>
      </c>
    </row>
    <row r="1723" spans="1:5" x14ac:dyDescent="0.2">
      <c r="A1723" s="105" t="s">
        <v>2218</v>
      </c>
      <c r="B1723" s="106">
        <v>12.6</v>
      </c>
      <c r="C1723" s="87">
        <f t="shared" si="52"/>
        <v>-6.8251856262232291E-2</v>
      </c>
      <c r="D1723" s="106">
        <v>44006.87</v>
      </c>
      <c r="E1723" s="87">
        <f t="shared" si="53"/>
        <v>3.375391369241143E-3</v>
      </c>
    </row>
    <row r="1724" spans="1:5" x14ac:dyDescent="0.2">
      <c r="A1724" s="105" t="s">
        <v>2219</v>
      </c>
      <c r="B1724" s="106">
        <v>12</v>
      </c>
      <c r="C1724" s="87">
        <f t="shared" si="52"/>
        <v>-4.8790164169431716E-2</v>
      </c>
      <c r="D1724" s="106">
        <v>44155.15</v>
      </c>
      <c r="E1724" s="87">
        <f t="shared" si="53"/>
        <v>3.3638099448793923E-3</v>
      </c>
    </row>
    <row r="1725" spans="1:5" x14ac:dyDescent="0.2">
      <c r="A1725" s="105" t="s">
        <v>2220</v>
      </c>
      <c r="B1725" s="106">
        <v>10.89</v>
      </c>
      <c r="C1725" s="87">
        <f t="shared" si="52"/>
        <v>-9.7061712843131254E-2</v>
      </c>
      <c r="D1725" s="106">
        <v>44671.66</v>
      </c>
      <c r="E1725" s="87">
        <f t="shared" si="53"/>
        <v>1.1629728040661647E-2</v>
      </c>
    </row>
    <row r="1726" spans="1:5" x14ac:dyDescent="0.2">
      <c r="A1726" s="105" t="s">
        <v>2221</v>
      </c>
      <c r="B1726" s="106">
        <v>9.9</v>
      </c>
      <c r="C1726" s="87">
        <f t="shared" si="52"/>
        <v>-9.5310179804324768E-2</v>
      </c>
      <c r="D1726" s="106">
        <v>44557.64</v>
      </c>
      <c r="E1726" s="87">
        <f t="shared" si="53"/>
        <v>-2.5556641609743025E-3</v>
      </c>
    </row>
    <row r="1727" spans="1:5" x14ac:dyDescent="0.2">
      <c r="A1727" s="105" t="s">
        <v>2222</v>
      </c>
      <c r="B1727" s="106">
        <v>9.68</v>
      </c>
      <c r="C1727" s="87">
        <f t="shared" si="52"/>
        <v>-2.2472855852058604E-2</v>
      </c>
      <c r="D1727" s="106">
        <v>43630.57</v>
      </c>
      <c r="E1727" s="87">
        <f t="shared" si="53"/>
        <v>-2.1025580463046367E-2</v>
      </c>
    </row>
    <row r="1728" spans="1:5" x14ac:dyDescent="0.2">
      <c r="A1728" s="105" t="s">
        <v>2223</v>
      </c>
      <c r="B1728" s="106">
        <v>8.8000000000000007</v>
      </c>
      <c r="C1728" s="87">
        <f t="shared" si="52"/>
        <v>-9.5310179804324768E-2</v>
      </c>
      <c r="D1728" s="106">
        <v>43563.88</v>
      </c>
      <c r="E1728" s="87">
        <f t="shared" si="53"/>
        <v>-1.529684813750265E-3</v>
      </c>
    </row>
    <row r="1729" spans="1:5" x14ac:dyDescent="0.2">
      <c r="A1729" s="105" t="s">
        <v>489</v>
      </c>
      <c r="B1729" s="106">
        <v>8.5</v>
      </c>
      <c r="C1729" s="87">
        <f t="shared" si="52"/>
        <v>-3.4685557987890192E-2</v>
      </c>
      <c r="D1729" s="106">
        <v>44294.89</v>
      </c>
      <c r="E1729" s="87">
        <f t="shared" si="53"/>
        <v>1.6640953868991559E-2</v>
      </c>
    </row>
    <row r="1730" spans="1:5" x14ac:dyDescent="0.2">
      <c r="A1730" s="105" t="s">
        <v>2224</v>
      </c>
      <c r="B1730" s="106">
        <v>8.8000000000000007</v>
      </c>
      <c r="C1730" s="87">
        <f t="shared" si="52"/>
        <v>3.4685557987890192E-2</v>
      </c>
      <c r="D1730" s="106">
        <v>44290.05</v>
      </c>
      <c r="E1730" s="87">
        <f t="shared" si="53"/>
        <v>-1.0927365316959481E-4</v>
      </c>
    </row>
    <row r="1731" spans="1:5" x14ac:dyDescent="0.2">
      <c r="A1731" s="105" t="s">
        <v>2225</v>
      </c>
      <c r="B1731" s="106">
        <v>8.8000000000000007</v>
      </c>
      <c r="C1731" s="87">
        <f t="shared" si="52"/>
        <v>0</v>
      </c>
      <c r="D1731" s="106">
        <v>43236.46</v>
      </c>
      <c r="E1731" s="87">
        <f t="shared" si="53"/>
        <v>-2.4075926078037213E-2</v>
      </c>
    </row>
    <row r="1732" spans="1:5" x14ac:dyDescent="0.2">
      <c r="A1732" s="105" t="s">
        <v>2226</v>
      </c>
      <c r="B1732" s="106">
        <v>8.8000000000000007</v>
      </c>
      <c r="C1732" s="87">
        <f t="shared" si="52"/>
        <v>0</v>
      </c>
      <c r="D1732" s="106">
        <v>42924.6</v>
      </c>
      <c r="E1732" s="87">
        <f t="shared" si="53"/>
        <v>-7.2390326182354414E-3</v>
      </c>
    </row>
    <row r="1733" spans="1:5" x14ac:dyDescent="0.2">
      <c r="A1733" s="105" t="s">
        <v>2227</v>
      </c>
      <c r="B1733" s="106">
        <v>8.8000000000000007</v>
      </c>
      <c r="C1733" s="87">
        <f t="shared" ref="C1733:C1796" si="54">LN(B1733)-LN(B1732)</f>
        <v>0</v>
      </c>
      <c r="D1733" s="106">
        <v>42180.3</v>
      </c>
      <c r="E1733" s="87">
        <f t="shared" ref="E1733:E1796" si="55">LN(D1733)-LN(D1732)</f>
        <v>-1.7491800760334186E-2</v>
      </c>
    </row>
    <row r="1734" spans="1:5" x14ac:dyDescent="0.2">
      <c r="A1734" s="105" t="s">
        <v>2228</v>
      </c>
      <c r="B1734" s="106">
        <v>8.5</v>
      </c>
      <c r="C1734" s="87">
        <f t="shared" si="54"/>
        <v>-3.4685557987890192E-2</v>
      </c>
      <c r="D1734" s="106">
        <v>42152.7</v>
      </c>
      <c r="E1734" s="87">
        <f t="shared" si="55"/>
        <v>-6.5454806506082264E-4</v>
      </c>
    </row>
    <row r="1735" spans="1:5" x14ac:dyDescent="0.2">
      <c r="A1735" s="105" t="s">
        <v>2229</v>
      </c>
      <c r="B1735" s="106">
        <v>9.1</v>
      </c>
      <c r="C1735" s="87">
        <f t="shared" si="54"/>
        <v>6.8208250026533523E-2</v>
      </c>
      <c r="D1735" s="106">
        <v>42738.28</v>
      </c>
      <c r="E1735" s="87">
        <f t="shared" si="55"/>
        <v>1.3796266413635294E-2</v>
      </c>
    </row>
    <row r="1736" spans="1:5" x14ac:dyDescent="0.2">
      <c r="A1736" s="105" t="s">
        <v>2230</v>
      </c>
      <c r="B1736" s="106">
        <v>9.1</v>
      </c>
      <c r="C1736" s="87">
        <f t="shared" si="54"/>
        <v>0</v>
      </c>
      <c r="D1736" s="106">
        <v>42464.6</v>
      </c>
      <c r="E1736" s="87">
        <f t="shared" si="55"/>
        <v>-6.4242180837954521E-3</v>
      </c>
    </row>
    <row r="1737" spans="1:5" x14ac:dyDescent="0.2">
      <c r="A1737" s="105" t="s">
        <v>2231</v>
      </c>
      <c r="B1737" s="106">
        <v>9.1</v>
      </c>
      <c r="C1737" s="87">
        <f t="shared" si="54"/>
        <v>0</v>
      </c>
      <c r="D1737" s="106">
        <v>44596.08</v>
      </c>
      <c r="E1737" s="87">
        <f t="shared" si="55"/>
        <v>4.8975175120926195E-2</v>
      </c>
    </row>
    <row r="1738" spans="1:5" x14ac:dyDescent="0.2">
      <c r="A1738" s="105" t="s">
        <v>2232</v>
      </c>
      <c r="B1738" s="106">
        <v>9.1</v>
      </c>
      <c r="C1738" s="87">
        <f t="shared" si="54"/>
        <v>0</v>
      </c>
      <c r="D1738" s="106">
        <v>43241.06</v>
      </c>
      <c r="E1738" s="87">
        <f t="shared" si="55"/>
        <v>-3.0855455977462753E-2</v>
      </c>
    </row>
    <row r="1739" spans="1:5" x14ac:dyDescent="0.2">
      <c r="A1739" s="105" t="s">
        <v>2233</v>
      </c>
      <c r="B1739" s="106">
        <v>8.99</v>
      </c>
      <c r="C1739" s="87">
        <f t="shared" si="54"/>
        <v>-1.2161565039275235E-2</v>
      </c>
      <c r="D1739" s="106">
        <v>43770.51</v>
      </c>
      <c r="E1739" s="87">
        <f t="shared" si="55"/>
        <v>1.2169796142122991E-2</v>
      </c>
    </row>
    <row r="1740" spans="1:5" x14ac:dyDescent="0.2">
      <c r="A1740" s="105" t="s">
        <v>2234</v>
      </c>
      <c r="B1740" s="106">
        <v>8.99</v>
      </c>
      <c r="C1740" s="87">
        <f t="shared" si="54"/>
        <v>0</v>
      </c>
      <c r="D1740" s="106">
        <v>44195.91</v>
      </c>
      <c r="E1740" s="87">
        <f t="shared" si="55"/>
        <v>9.6719479142368669E-3</v>
      </c>
    </row>
    <row r="1741" spans="1:5" x14ac:dyDescent="0.2">
      <c r="A1741" s="105" t="s">
        <v>2235</v>
      </c>
      <c r="B1741" s="106">
        <v>8.99</v>
      </c>
      <c r="C1741" s="87">
        <f t="shared" si="54"/>
        <v>0</v>
      </c>
      <c r="D1741" s="106">
        <v>47042.15</v>
      </c>
      <c r="E1741" s="87">
        <f t="shared" si="55"/>
        <v>6.2411757462735196E-2</v>
      </c>
    </row>
    <row r="1742" spans="1:5" x14ac:dyDescent="0.2">
      <c r="A1742" s="105" t="s">
        <v>2236</v>
      </c>
      <c r="B1742" s="106">
        <v>9</v>
      </c>
      <c r="C1742" s="87">
        <f t="shared" si="54"/>
        <v>1.1117288526905078E-3</v>
      </c>
      <c r="D1742" s="106">
        <v>44220.32</v>
      </c>
      <c r="E1742" s="87">
        <f t="shared" si="55"/>
        <v>-6.1859596380539728E-2</v>
      </c>
    </row>
    <row r="1743" spans="1:5" x14ac:dyDescent="0.2">
      <c r="A1743" s="105" t="s">
        <v>2237</v>
      </c>
      <c r="B1743" s="106">
        <v>8</v>
      </c>
      <c r="C1743" s="87">
        <f t="shared" si="54"/>
        <v>-0.11778303565638382</v>
      </c>
      <c r="D1743" s="106">
        <v>45093.65</v>
      </c>
      <c r="E1743" s="87">
        <f t="shared" si="55"/>
        <v>1.9557026421800572E-2</v>
      </c>
    </row>
    <row r="1744" spans="1:5" x14ac:dyDescent="0.2">
      <c r="A1744" s="105" t="s">
        <v>2238</v>
      </c>
      <c r="B1744" s="106">
        <v>9.14</v>
      </c>
      <c r="C1744" s="87">
        <f t="shared" si="54"/>
        <v>0.13321884378622295</v>
      </c>
      <c r="D1744" s="106">
        <v>46510.96</v>
      </c>
      <c r="E1744" s="87">
        <f t="shared" si="55"/>
        <v>3.0946545375945433E-2</v>
      </c>
    </row>
    <row r="1745" spans="1:5" x14ac:dyDescent="0.2">
      <c r="A1745" s="105" t="s">
        <v>2239</v>
      </c>
      <c r="B1745" s="106">
        <v>8.49</v>
      </c>
      <c r="C1745" s="87">
        <f t="shared" si="54"/>
        <v>-7.3771385142802792E-2</v>
      </c>
      <c r="D1745" s="106">
        <v>46693.09</v>
      </c>
      <c r="E1745" s="87">
        <f t="shared" si="55"/>
        <v>3.9082042426699104E-3</v>
      </c>
    </row>
    <row r="1746" spans="1:5" x14ac:dyDescent="0.2">
      <c r="A1746" s="105" t="s">
        <v>2240</v>
      </c>
      <c r="B1746" s="106">
        <v>8.1</v>
      </c>
      <c r="C1746" s="87">
        <f t="shared" si="54"/>
        <v>-4.7024938644862679E-2</v>
      </c>
      <c r="D1746" s="106">
        <v>47002.61</v>
      </c>
      <c r="E1746" s="87">
        <f t="shared" si="55"/>
        <v>6.6069440950293767E-3</v>
      </c>
    </row>
    <row r="1747" spans="1:5" x14ac:dyDescent="0.2">
      <c r="A1747" s="105" t="s">
        <v>491</v>
      </c>
      <c r="B1747" s="106">
        <v>8.49</v>
      </c>
      <c r="C1747" s="87">
        <f t="shared" si="54"/>
        <v>4.7024938644862679E-2</v>
      </c>
      <c r="D1747" s="106">
        <v>47803.6</v>
      </c>
      <c r="E1747" s="87">
        <f t="shared" si="55"/>
        <v>1.689781838588722E-2</v>
      </c>
    </row>
    <row r="1748" spans="1:5" x14ac:dyDescent="0.2">
      <c r="A1748" s="105" t="s">
        <v>2241</v>
      </c>
      <c r="B1748" s="106">
        <v>8.49</v>
      </c>
      <c r="C1748" s="87">
        <f t="shared" si="54"/>
        <v>0</v>
      </c>
      <c r="D1748" s="106">
        <v>47996.800000000003</v>
      </c>
      <c r="E1748" s="87">
        <f t="shared" si="55"/>
        <v>4.0333915499033424E-3</v>
      </c>
    </row>
    <row r="1749" spans="1:5" x14ac:dyDescent="0.2">
      <c r="A1749" s="105" t="s">
        <v>2242</v>
      </c>
      <c r="B1749" s="106">
        <v>8.49</v>
      </c>
      <c r="C1749" s="87">
        <f t="shared" si="54"/>
        <v>0</v>
      </c>
      <c r="D1749" s="106">
        <v>48418.14</v>
      </c>
      <c r="E1749" s="87">
        <f t="shared" si="55"/>
        <v>8.7401948746155256E-3</v>
      </c>
    </row>
    <row r="1750" spans="1:5" x14ac:dyDescent="0.2">
      <c r="A1750" s="105" t="s">
        <v>2243</v>
      </c>
      <c r="B1750" s="106">
        <v>8.6999999999999993</v>
      </c>
      <c r="C1750" s="87">
        <f t="shared" si="54"/>
        <v>2.4434025337281895E-2</v>
      </c>
      <c r="D1750" s="106">
        <v>47945.27</v>
      </c>
      <c r="E1750" s="87">
        <f t="shared" si="55"/>
        <v>-9.8143848510243714E-3</v>
      </c>
    </row>
    <row r="1751" spans="1:5" x14ac:dyDescent="0.2">
      <c r="A1751" s="105" t="s">
        <v>2244</v>
      </c>
      <c r="B1751" s="106">
        <v>8.6999999999999993</v>
      </c>
      <c r="C1751" s="87">
        <f t="shared" si="54"/>
        <v>0</v>
      </c>
      <c r="D1751" s="106">
        <v>49434.43</v>
      </c>
      <c r="E1751" s="87">
        <f t="shared" si="55"/>
        <v>3.0586992947824854E-2</v>
      </c>
    </row>
    <row r="1752" spans="1:5" x14ac:dyDescent="0.2">
      <c r="A1752" s="105" t="s">
        <v>2245</v>
      </c>
      <c r="B1752" s="106">
        <v>8.6999999999999993</v>
      </c>
      <c r="C1752" s="87">
        <f t="shared" si="54"/>
        <v>0</v>
      </c>
      <c r="D1752" s="106">
        <v>49119.09</v>
      </c>
      <c r="E1752" s="87">
        <f t="shared" si="55"/>
        <v>-6.3993873816734492E-3</v>
      </c>
    </row>
    <row r="1753" spans="1:5" x14ac:dyDescent="0.2">
      <c r="A1753" s="105" t="s">
        <v>2246</v>
      </c>
      <c r="B1753" s="106">
        <v>8.75</v>
      </c>
      <c r="C1753" s="87">
        <f t="shared" si="54"/>
        <v>5.7306747089853616E-3</v>
      </c>
      <c r="D1753" s="106">
        <v>48462.93</v>
      </c>
      <c r="E1753" s="87">
        <f t="shared" si="55"/>
        <v>-1.3448581811136506E-2</v>
      </c>
    </row>
    <row r="1754" spans="1:5" x14ac:dyDescent="0.2">
      <c r="A1754" s="105" t="s">
        <v>2247</v>
      </c>
      <c r="B1754" s="106">
        <v>8</v>
      </c>
      <c r="C1754" s="87">
        <f t="shared" si="54"/>
        <v>-8.9612158689687416E-2</v>
      </c>
      <c r="D1754" s="106">
        <v>48697.1</v>
      </c>
      <c r="E1754" s="87">
        <f t="shared" si="55"/>
        <v>4.8203042633474524E-3</v>
      </c>
    </row>
    <row r="1755" spans="1:5" x14ac:dyDescent="0.2">
      <c r="A1755" s="105" t="s">
        <v>2248</v>
      </c>
      <c r="B1755" s="106">
        <v>8.8000000000000007</v>
      </c>
      <c r="C1755" s="87">
        <f t="shared" si="54"/>
        <v>9.5310179804325212E-2</v>
      </c>
      <c r="D1755" s="106">
        <v>49358.2</v>
      </c>
      <c r="E1755" s="87">
        <f t="shared" si="55"/>
        <v>1.3484432096630528E-2</v>
      </c>
    </row>
    <row r="1756" spans="1:5" x14ac:dyDescent="0.2">
      <c r="A1756" s="105" t="s">
        <v>2249</v>
      </c>
      <c r="B1756" s="106">
        <v>8.35</v>
      </c>
      <c r="C1756" s="87">
        <f t="shared" si="54"/>
        <v>-5.2490182621396819E-2</v>
      </c>
      <c r="D1756" s="106">
        <v>49538.05</v>
      </c>
      <c r="E1756" s="87">
        <f t="shared" si="55"/>
        <v>3.6371489974058591E-3</v>
      </c>
    </row>
    <row r="1757" spans="1:5" x14ac:dyDescent="0.2">
      <c r="A1757" s="105" t="s">
        <v>2250</v>
      </c>
      <c r="B1757" s="106">
        <v>8.35</v>
      </c>
      <c r="C1757" s="87">
        <f t="shared" si="54"/>
        <v>0</v>
      </c>
      <c r="D1757" s="106">
        <v>49428.71</v>
      </c>
      <c r="E1757" s="87">
        <f t="shared" si="55"/>
        <v>-2.2096316882045386E-3</v>
      </c>
    </row>
    <row r="1758" spans="1:5" x14ac:dyDescent="0.2">
      <c r="A1758" s="105" t="s">
        <v>2251</v>
      </c>
      <c r="B1758" s="106">
        <v>9.15</v>
      </c>
      <c r="C1758" s="87">
        <f t="shared" si="54"/>
        <v>9.1492340424665919E-2</v>
      </c>
      <c r="D1758" s="106">
        <v>50367.53</v>
      </c>
      <c r="E1758" s="87">
        <f t="shared" si="55"/>
        <v>1.8815291963237613E-2</v>
      </c>
    </row>
    <row r="1759" spans="1:5" x14ac:dyDescent="0.2">
      <c r="A1759" s="105" t="s">
        <v>2252</v>
      </c>
      <c r="B1759" s="106">
        <v>9.5</v>
      </c>
      <c r="C1759" s="87">
        <f t="shared" si="54"/>
        <v>3.7537919319065249E-2</v>
      </c>
      <c r="D1759" s="106">
        <v>50642.89</v>
      </c>
      <c r="E1759" s="87">
        <f t="shared" si="55"/>
        <v>5.4521242878600162E-3</v>
      </c>
    </row>
    <row r="1760" spans="1:5" x14ac:dyDescent="0.2">
      <c r="A1760" s="105" t="s">
        <v>2253</v>
      </c>
      <c r="B1760" s="106">
        <v>8.9499999999999993</v>
      </c>
      <c r="C1760" s="87">
        <f t="shared" si="54"/>
        <v>-5.9638266319731237E-2</v>
      </c>
      <c r="D1760" s="106">
        <v>50271.65</v>
      </c>
      <c r="E1760" s="87">
        <f t="shared" si="55"/>
        <v>-7.3575457948464873E-3</v>
      </c>
    </row>
    <row r="1761" spans="1:5" x14ac:dyDescent="0.2">
      <c r="A1761" s="105" t="s">
        <v>2254</v>
      </c>
      <c r="B1761" s="106">
        <v>8.15</v>
      </c>
      <c r="C1761" s="87">
        <f t="shared" si="54"/>
        <v>-9.3635605033992597E-2</v>
      </c>
      <c r="D1761" s="106">
        <v>50262.68</v>
      </c>
      <c r="E1761" s="87">
        <f t="shared" si="55"/>
        <v>-1.7844650725251654E-4</v>
      </c>
    </row>
    <row r="1762" spans="1:5" x14ac:dyDescent="0.2">
      <c r="A1762" s="105" t="s">
        <v>2255</v>
      </c>
      <c r="B1762" s="106">
        <v>8.15</v>
      </c>
      <c r="C1762" s="87">
        <f t="shared" si="54"/>
        <v>0</v>
      </c>
      <c r="D1762" s="106">
        <v>51233.42</v>
      </c>
      <c r="E1762" s="87">
        <f t="shared" si="55"/>
        <v>1.9129200066348773E-2</v>
      </c>
    </row>
    <row r="1763" spans="1:5" x14ac:dyDescent="0.2">
      <c r="A1763" s="105" t="s">
        <v>2256</v>
      </c>
      <c r="B1763" s="106">
        <v>8.15</v>
      </c>
      <c r="C1763" s="87">
        <f t="shared" si="54"/>
        <v>0</v>
      </c>
      <c r="D1763" s="106">
        <v>51094.29</v>
      </c>
      <c r="E1763" s="87">
        <f t="shared" si="55"/>
        <v>-2.7193041989193034E-3</v>
      </c>
    </row>
    <row r="1764" spans="1:5" x14ac:dyDescent="0.2">
      <c r="A1764" s="105" t="s">
        <v>2257</v>
      </c>
      <c r="B1764" s="106">
        <v>8.1999999999999993</v>
      </c>
      <c r="C1764" s="87">
        <f t="shared" si="54"/>
        <v>6.1162270174359712E-3</v>
      </c>
      <c r="D1764" s="106">
        <v>51442.51</v>
      </c>
      <c r="E1764" s="87">
        <f t="shared" si="55"/>
        <v>6.7921241681094813E-3</v>
      </c>
    </row>
    <row r="1765" spans="1:5" x14ac:dyDescent="0.2">
      <c r="A1765" s="105" t="s">
        <v>2258</v>
      </c>
      <c r="B1765" s="106">
        <v>7.66</v>
      </c>
      <c r="C1765" s="87">
        <f t="shared" si="54"/>
        <v>-6.8122170517707303E-2</v>
      </c>
      <c r="D1765" s="106">
        <v>51264.77</v>
      </c>
      <c r="E1765" s="87">
        <f t="shared" si="55"/>
        <v>-3.461101830994906E-3</v>
      </c>
    </row>
    <row r="1766" spans="1:5" x14ac:dyDescent="0.2">
      <c r="A1766" s="105" t="s">
        <v>2259</v>
      </c>
      <c r="B1766" s="106">
        <v>8.15</v>
      </c>
      <c r="C1766" s="87">
        <f t="shared" si="54"/>
        <v>6.2005943500271332E-2</v>
      </c>
      <c r="D1766" s="106">
        <v>51391.65</v>
      </c>
      <c r="E1766" s="87">
        <f t="shared" si="55"/>
        <v>2.4719362823688584E-3</v>
      </c>
    </row>
    <row r="1767" spans="1:5" x14ac:dyDescent="0.2">
      <c r="A1767" s="105" t="s">
        <v>2260</v>
      </c>
      <c r="B1767" s="106">
        <v>8.15</v>
      </c>
      <c r="C1767" s="87">
        <f t="shared" si="54"/>
        <v>0</v>
      </c>
      <c r="D1767" s="106">
        <v>51599.62</v>
      </c>
      <c r="E1767" s="87">
        <f t="shared" si="55"/>
        <v>4.0386002167149826E-3</v>
      </c>
    </row>
    <row r="1768" spans="1:5" x14ac:dyDescent="0.2">
      <c r="A1768" s="105" t="s">
        <v>2261</v>
      </c>
      <c r="B1768" s="106">
        <v>8.16</v>
      </c>
      <c r="C1768" s="87">
        <f t="shared" si="54"/>
        <v>1.226241723244037E-3</v>
      </c>
      <c r="D1768" s="106">
        <v>51174.59</v>
      </c>
      <c r="E1768" s="87">
        <f t="shared" si="55"/>
        <v>-8.2711883285302434E-3</v>
      </c>
    </row>
    <row r="1769" spans="1:5" x14ac:dyDescent="0.2">
      <c r="A1769" s="105" t="s">
        <v>2262</v>
      </c>
      <c r="B1769" s="106">
        <v>9.3000000000000007</v>
      </c>
      <c r="C1769" s="87">
        <f t="shared" si="54"/>
        <v>0.13077023118319486</v>
      </c>
      <c r="D1769" s="106">
        <v>51569.81</v>
      </c>
      <c r="E1769" s="87">
        <f t="shared" si="55"/>
        <v>7.6933039527098401E-3</v>
      </c>
    </row>
    <row r="1770" spans="1:5" x14ac:dyDescent="0.2">
      <c r="A1770" s="105" t="s">
        <v>2263</v>
      </c>
      <c r="B1770" s="106">
        <v>9</v>
      </c>
      <c r="C1770" s="87">
        <f t="shared" si="54"/>
        <v>-3.2789822822990811E-2</v>
      </c>
      <c r="D1770" s="106">
        <v>50312.86</v>
      </c>
      <c r="E1770" s="87">
        <f t="shared" si="55"/>
        <v>-2.4675713310807978E-2</v>
      </c>
    </row>
    <row r="1771" spans="1:5" x14ac:dyDescent="0.2">
      <c r="A1771" s="105" t="s">
        <v>2264</v>
      </c>
      <c r="B1771" s="106">
        <v>9</v>
      </c>
      <c r="C1771" s="87">
        <f t="shared" si="54"/>
        <v>0</v>
      </c>
      <c r="D1771" s="106">
        <v>49275.66</v>
      </c>
      <c r="E1771" s="87">
        <f t="shared" si="55"/>
        <v>-2.0830463267470734E-2</v>
      </c>
    </row>
    <row r="1772" spans="1:5" x14ac:dyDescent="0.2">
      <c r="A1772" s="105" t="s">
        <v>2265</v>
      </c>
      <c r="B1772" s="106">
        <v>9.26</v>
      </c>
      <c r="C1772" s="87">
        <f t="shared" si="54"/>
        <v>2.8479471321868566E-2</v>
      </c>
      <c r="D1772" s="106">
        <v>49701.31</v>
      </c>
      <c r="E1772" s="87">
        <f t="shared" si="55"/>
        <v>8.6010437388903682E-3</v>
      </c>
    </row>
    <row r="1773" spans="1:5" x14ac:dyDescent="0.2">
      <c r="A1773" s="105" t="s">
        <v>2266</v>
      </c>
      <c r="B1773" s="106">
        <v>9.3000000000000007</v>
      </c>
      <c r="C1773" s="87">
        <f t="shared" si="54"/>
        <v>4.3103515011222449E-3</v>
      </c>
      <c r="D1773" s="106">
        <v>50160.5</v>
      </c>
      <c r="E1773" s="87">
        <f t="shared" si="55"/>
        <v>9.1965734729502202E-3</v>
      </c>
    </row>
    <row r="1774" spans="1:5" x14ac:dyDescent="0.2">
      <c r="A1774" s="105" t="s">
        <v>2267</v>
      </c>
      <c r="B1774" s="106">
        <v>9.3000000000000007</v>
      </c>
      <c r="C1774" s="87">
        <f t="shared" si="54"/>
        <v>0</v>
      </c>
      <c r="D1774" s="106">
        <v>51532.65</v>
      </c>
      <c r="E1774" s="87">
        <f t="shared" si="55"/>
        <v>2.6987722994366692E-2</v>
      </c>
    </row>
    <row r="1775" spans="1:5" x14ac:dyDescent="0.2">
      <c r="A1775" s="105" t="s">
        <v>2268</v>
      </c>
      <c r="B1775" s="106">
        <v>9.49</v>
      </c>
      <c r="C1775" s="87">
        <f t="shared" si="54"/>
        <v>2.0224212462625957E-2</v>
      </c>
      <c r="D1775" s="106">
        <v>50498.77</v>
      </c>
      <c r="E1775" s="87">
        <f t="shared" si="55"/>
        <v>-2.0266607822374993E-2</v>
      </c>
    </row>
    <row r="1776" spans="1:5" x14ac:dyDescent="0.2">
      <c r="A1776" s="105" t="s">
        <v>2269</v>
      </c>
      <c r="B1776" s="106">
        <v>9.75</v>
      </c>
      <c r="C1776" s="87">
        <f t="shared" si="54"/>
        <v>2.7028672387919617E-2</v>
      </c>
      <c r="D1776" s="106">
        <v>50977.06</v>
      </c>
      <c r="E1776" s="87">
        <f t="shared" si="55"/>
        <v>9.4267480615801702E-3</v>
      </c>
    </row>
    <row r="1777" spans="1:5" x14ac:dyDescent="0.2">
      <c r="A1777" s="105" t="s">
        <v>2270</v>
      </c>
      <c r="B1777" s="106">
        <v>9.69</v>
      </c>
      <c r="C1777" s="87">
        <f t="shared" si="54"/>
        <v>-6.1728591070813188E-3</v>
      </c>
      <c r="D1777" s="106">
        <v>50135.97</v>
      </c>
      <c r="E1777" s="87">
        <f t="shared" si="55"/>
        <v>-1.6637013060860184E-2</v>
      </c>
    </row>
    <row r="1778" spans="1:5" x14ac:dyDescent="0.2">
      <c r="A1778" s="105" t="s">
        <v>494</v>
      </c>
      <c r="B1778" s="106">
        <v>9.1999999999999993</v>
      </c>
      <c r="C1778" s="87">
        <f t="shared" si="54"/>
        <v>-5.1890941847680061E-2</v>
      </c>
      <c r="D1778" s="106">
        <v>50292.2</v>
      </c>
      <c r="E1778" s="87">
        <f t="shared" si="55"/>
        <v>3.1112809488895721E-3</v>
      </c>
    </row>
    <row r="1779" spans="1:5" x14ac:dyDescent="0.2">
      <c r="A1779" s="105" t="s">
        <v>2271</v>
      </c>
      <c r="B1779" s="106">
        <v>8.8000000000000007</v>
      </c>
      <c r="C1779" s="87">
        <f t="shared" si="54"/>
        <v>-4.4451762570833608E-2</v>
      </c>
      <c r="D1779" s="106">
        <v>51280.38</v>
      </c>
      <c r="E1779" s="87">
        <f t="shared" si="55"/>
        <v>1.9458227382711968E-2</v>
      </c>
    </row>
    <row r="1780" spans="1:5" x14ac:dyDescent="0.2">
      <c r="A1780" s="105" t="s">
        <v>2272</v>
      </c>
      <c r="B1780" s="106">
        <v>9.69</v>
      </c>
      <c r="C1780" s="87">
        <f t="shared" si="54"/>
        <v>9.6342704418513669E-2</v>
      </c>
      <c r="D1780" s="106">
        <v>50366.09</v>
      </c>
      <c r="E1780" s="87">
        <f t="shared" si="55"/>
        <v>-1.7990091707607903E-2</v>
      </c>
    </row>
    <row r="1781" spans="1:5" x14ac:dyDescent="0.2">
      <c r="A1781" s="105" t="s">
        <v>2273</v>
      </c>
      <c r="B1781" s="106">
        <v>9.6</v>
      </c>
      <c r="C1781" s="87">
        <f t="shared" si="54"/>
        <v>-9.3313274288839843E-3</v>
      </c>
      <c r="D1781" s="106">
        <v>49318.58</v>
      </c>
      <c r="E1781" s="87">
        <f t="shared" si="55"/>
        <v>-2.1017244857391759E-2</v>
      </c>
    </row>
    <row r="1782" spans="1:5" x14ac:dyDescent="0.2">
      <c r="A1782" s="105" t="s">
        <v>2274</v>
      </c>
      <c r="B1782" s="106">
        <v>9</v>
      </c>
      <c r="C1782" s="87">
        <f t="shared" si="54"/>
        <v>-6.4538521137571081E-2</v>
      </c>
      <c r="D1782" s="106">
        <v>49372.33</v>
      </c>
      <c r="E1782" s="87">
        <f t="shared" si="55"/>
        <v>1.0892594933924471E-3</v>
      </c>
    </row>
    <row r="1783" spans="1:5" x14ac:dyDescent="0.2">
      <c r="A1783" s="105" t="s">
        <v>2275</v>
      </c>
      <c r="B1783" s="106">
        <v>9.65</v>
      </c>
      <c r="C1783" s="87">
        <f t="shared" si="54"/>
        <v>6.9733338014675184E-2</v>
      </c>
      <c r="D1783" s="106">
        <v>48916.6</v>
      </c>
      <c r="E1783" s="87">
        <f t="shared" si="55"/>
        <v>-9.2733386326049327E-3</v>
      </c>
    </row>
    <row r="1784" spans="1:5" x14ac:dyDescent="0.2">
      <c r="A1784" s="105" t="s">
        <v>2276</v>
      </c>
      <c r="B1784" s="106">
        <v>9.84</v>
      </c>
      <c r="C1784" s="87">
        <f t="shared" si="54"/>
        <v>1.9497795713267152E-2</v>
      </c>
      <c r="D1784" s="106">
        <v>52452.86</v>
      </c>
      <c r="E1784" s="87">
        <f t="shared" si="55"/>
        <v>6.9798054300566292E-2</v>
      </c>
    </row>
    <row r="1785" spans="1:5" x14ac:dyDescent="0.2">
      <c r="A1785" s="105" t="s">
        <v>2277</v>
      </c>
      <c r="B1785" s="106">
        <v>9.7899999999999991</v>
      </c>
      <c r="C1785" s="87">
        <f t="shared" si="54"/>
        <v>-5.0942545217429469E-3</v>
      </c>
      <c r="D1785" s="106">
        <v>52566.45</v>
      </c>
      <c r="E1785" s="87">
        <f t="shared" si="55"/>
        <v>2.163222064506698E-3</v>
      </c>
    </row>
    <row r="1786" spans="1:5" x14ac:dyDescent="0.2">
      <c r="A1786" s="105" t="s">
        <v>2278</v>
      </c>
      <c r="B1786" s="106">
        <v>9.85</v>
      </c>
      <c r="C1786" s="87">
        <f t="shared" si="54"/>
        <v>6.1099986415786844E-3</v>
      </c>
      <c r="D1786" s="106">
        <v>52995.96</v>
      </c>
      <c r="E1786" s="87">
        <f t="shared" si="55"/>
        <v>8.1376006894160469E-3</v>
      </c>
    </row>
    <row r="1787" spans="1:5" x14ac:dyDescent="0.2">
      <c r="A1787" s="105" t="s">
        <v>2279</v>
      </c>
      <c r="B1787" s="106">
        <v>9.9499999999999993</v>
      </c>
      <c r="C1787" s="87">
        <f t="shared" si="54"/>
        <v>1.0101095986503772E-2</v>
      </c>
      <c r="D1787" s="106">
        <v>52554.93</v>
      </c>
      <c r="E1787" s="87">
        <f t="shared" si="55"/>
        <v>-8.3567758951854643E-3</v>
      </c>
    </row>
    <row r="1788" spans="1:5" x14ac:dyDescent="0.2">
      <c r="A1788" s="105" t="s">
        <v>2280</v>
      </c>
      <c r="B1788" s="106">
        <v>9.7899999999999991</v>
      </c>
      <c r="C1788" s="87">
        <f t="shared" si="54"/>
        <v>-1.6211094628082456E-2</v>
      </c>
      <c r="D1788" s="106">
        <v>52934.34</v>
      </c>
      <c r="E1788" s="87">
        <f t="shared" si="55"/>
        <v>7.1933692598733501E-3</v>
      </c>
    </row>
    <row r="1789" spans="1:5" x14ac:dyDescent="0.2">
      <c r="A1789" s="105" t="s">
        <v>2281</v>
      </c>
      <c r="B1789" s="106">
        <v>9.6999999999999993</v>
      </c>
      <c r="C1789" s="87">
        <f t="shared" si="54"/>
        <v>-9.2355710330820351E-3</v>
      </c>
      <c r="D1789" s="106">
        <v>52931.39</v>
      </c>
      <c r="E1789" s="87">
        <f t="shared" si="55"/>
        <v>-5.5730971689982312E-5</v>
      </c>
    </row>
    <row r="1790" spans="1:5" x14ac:dyDescent="0.2">
      <c r="A1790" s="105" t="s">
        <v>2282</v>
      </c>
      <c r="B1790" s="106">
        <v>9.39</v>
      </c>
      <c r="C1790" s="87">
        <f t="shared" si="54"/>
        <v>-3.2480592289165333E-2</v>
      </c>
      <c r="D1790" s="106">
        <v>52425.2</v>
      </c>
      <c r="E1790" s="87">
        <f t="shared" si="55"/>
        <v>-9.6091548701657814E-3</v>
      </c>
    </row>
    <row r="1791" spans="1:5" x14ac:dyDescent="0.2">
      <c r="A1791" s="105" t="s">
        <v>2283</v>
      </c>
      <c r="B1791" s="106">
        <v>9.48</v>
      </c>
      <c r="C1791" s="87">
        <f t="shared" si="54"/>
        <v>9.5390230467589099E-3</v>
      </c>
      <c r="D1791" s="106">
        <v>52808.18</v>
      </c>
      <c r="E1791" s="87">
        <f t="shared" si="55"/>
        <v>7.2787112006409416E-3</v>
      </c>
    </row>
    <row r="1792" spans="1:5" x14ac:dyDescent="0.2">
      <c r="A1792" s="105" t="s">
        <v>2284</v>
      </c>
      <c r="B1792" s="106">
        <v>8.8000000000000007</v>
      </c>
      <c r="C1792" s="87">
        <f t="shared" si="54"/>
        <v>-7.4432594782769534E-2</v>
      </c>
      <c r="D1792" s="106">
        <v>52750.94</v>
      </c>
      <c r="E1792" s="87">
        <f t="shared" si="55"/>
        <v>-1.0845108525039393E-3</v>
      </c>
    </row>
    <row r="1793" spans="1:5" x14ac:dyDescent="0.2">
      <c r="A1793" s="105" t="s">
        <v>2285</v>
      </c>
      <c r="B1793" s="106">
        <v>9</v>
      </c>
      <c r="C1793" s="87">
        <f t="shared" si="54"/>
        <v>2.2472855852058604E-2</v>
      </c>
      <c r="D1793" s="106">
        <v>52011.81</v>
      </c>
      <c r="E1793" s="87">
        <f t="shared" si="55"/>
        <v>-1.411078392336762E-2</v>
      </c>
    </row>
    <row r="1794" spans="1:5" x14ac:dyDescent="0.2">
      <c r="A1794" s="105" t="s">
        <v>2286</v>
      </c>
      <c r="B1794" s="106">
        <v>9.5</v>
      </c>
      <c r="C1794" s="87">
        <f t="shared" si="54"/>
        <v>5.4067221270275745E-2</v>
      </c>
      <c r="D1794" s="106">
        <v>52288.1</v>
      </c>
      <c r="E1794" s="87">
        <f t="shared" si="55"/>
        <v>5.2980035411600568E-3</v>
      </c>
    </row>
    <row r="1795" spans="1:5" x14ac:dyDescent="0.2">
      <c r="A1795" s="105" t="s">
        <v>2287</v>
      </c>
      <c r="B1795" s="106">
        <v>9.75</v>
      </c>
      <c r="C1795" s="87">
        <f t="shared" si="54"/>
        <v>2.5975486403260639E-2</v>
      </c>
      <c r="D1795" s="106">
        <v>51986.22</v>
      </c>
      <c r="E1795" s="87">
        <f t="shared" si="55"/>
        <v>-5.7901282576846569E-3</v>
      </c>
    </row>
    <row r="1796" spans="1:5" x14ac:dyDescent="0.2">
      <c r="A1796" s="105" t="s">
        <v>2288</v>
      </c>
      <c r="B1796" s="106">
        <v>9.3800000000000008</v>
      </c>
      <c r="C1796" s="87">
        <f t="shared" si="54"/>
        <v>-3.8687521991622731E-2</v>
      </c>
      <c r="D1796" s="106">
        <v>51698.05</v>
      </c>
      <c r="E1796" s="87">
        <f t="shared" si="55"/>
        <v>-5.5586202612136759E-3</v>
      </c>
    </row>
    <row r="1797" spans="1:5" x14ac:dyDescent="0.2">
      <c r="A1797" s="105" t="s">
        <v>2289</v>
      </c>
      <c r="B1797" s="106">
        <v>8.9</v>
      </c>
      <c r="C1797" s="87">
        <f t="shared" ref="C1797:C1860" si="56">LN(B1797)-LN(B1796)</f>
        <v>-5.2528486280039033E-2</v>
      </c>
      <c r="D1797" s="106">
        <v>52839.41</v>
      </c>
      <c r="E1797" s="87">
        <f t="shared" ref="E1797:E1860" si="57">LN(D1797)-LN(D1796)</f>
        <v>2.1837250606779435E-2</v>
      </c>
    </row>
    <row r="1798" spans="1:5" x14ac:dyDescent="0.2">
      <c r="A1798" s="105" t="s">
        <v>2290</v>
      </c>
      <c r="B1798" s="106">
        <v>8.9499999999999993</v>
      </c>
      <c r="C1798" s="87">
        <f t="shared" si="56"/>
        <v>5.6022555486698877E-3</v>
      </c>
      <c r="D1798" s="106">
        <v>52753.8</v>
      </c>
      <c r="E1798" s="87">
        <f t="shared" si="57"/>
        <v>-1.6215061320270507E-3</v>
      </c>
    </row>
    <row r="1799" spans="1:5" x14ac:dyDescent="0.2">
      <c r="A1799" s="105" t="s">
        <v>2291</v>
      </c>
      <c r="B1799" s="106">
        <v>8.6300000000000008</v>
      </c>
      <c r="C1799" s="87">
        <f t="shared" si="56"/>
        <v>-3.6409027191427246E-2</v>
      </c>
      <c r="D1799" s="106">
        <v>53428.959999999999</v>
      </c>
      <c r="E1799" s="87">
        <f t="shared" si="57"/>
        <v>1.2717113383782674E-2</v>
      </c>
    </row>
    <row r="1800" spans="1:5" x14ac:dyDescent="0.2">
      <c r="A1800" s="105" t="s">
        <v>2292</v>
      </c>
      <c r="B1800" s="106">
        <v>9.1</v>
      </c>
      <c r="C1800" s="87">
        <f t="shared" si="56"/>
        <v>5.3029908427467465E-2</v>
      </c>
      <c r="D1800" s="106">
        <v>52764.78</v>
      </c>
      <c r="E1800" s="87">
        <f t="shared" si="57"/>
        <v>-1.2508998376176805E-2</v>
      </c>
    </row>
    <row r="1801" spans="1:5" x14ac:dyDescent="0.2">
      <c r="A1801" s="105" t="s">
        <v>2293</v>
      </c>
      <c r="B1801" s="106">
        <v>9.1</v>
      </c>
      <c r="C1801" s="87">
        <f t="shared" si="56"/>
        <v>0</v>
      </c>
      <c r="D1801" s="106">
        <v>52773.18</v>
      </c>
      <c r="E1801" s="87">
        <f t="shared" si="57"/>
        <v>1.5918443027906903E-4</v>
      </c>
    </row>
    <row r="1802" spans="1:5" x14ac:dyDescent="0.2">
      <c r="A1802" s="105" t="s">
        <v>2294</v>
      </c>
      <c r="B1802" s="106">
        <v>8.6</v>
      </c>
      <c r="C1802" s="87">
        <f t="shared" si="56"/>
        <v>-5.6512210263342411E-2</v>
      </c>
      <c r="D1802" s="106">
        <v>52588.42</v>
      </c>
      <c r="E1802" s="87">
        <f t="shared" si="57"/>
        <v>-3.5071636987673571E-3</v>
      </c>
    </row>
    <row r="1803" spans="1:5" x14ac:dyDescent="0.2">
      <c r="A1803" s="105" t="s">
        <v>2295</v>
      </c>
      <c r="B1803" s="106">
        <v>9.6</v>
      </c>
      <c r="C1803" s="87">
        <f t="shared" si="56"/>
        <v>0.11000089521432876</v>
      </c>
      <c r="D1803" s="106">
        <v>51658.71</v>
      </c>
      <c r="E1803" s="87">
        <f t="shared" si="57"/>
        <v>-1.7837127023460297E-2</v>
      </c>
    </row>
    <row r="1804" spans="1:5" x14ac:dyDescent="0.2">
      <c r="A1804" s="105" t="s">
        <v>2296</v>
      </c>
      <c r="B1804" s="106">
        <v>9.9</v>
      </c>
      <c r="C1804" s="87">
        <f t="shared" si="56"/>
        <v>3.0771658666753687E-2</v>
      </c>
      <c r="D1804" s="106">
        <v>52590.36</v>
      </c>
      <c r="E1804" s="87">
        <f t="shared" si="57"/>
        <v>1.7874016593776076E-2</v>
      </c>
    </row>
    <row r="1805" spans="1:5" x14ac:dyDescent="0.2">
      <c r="A1805" s="105" t="s">
        <v>2297</v>
      </c>
      <c r="B1805" s="106">
        <v>10</v>
      </c>
      <c r="C1805" s="87">
        <f t="shared" si="56"/>
        <v>1.0050335853501569E-2</v>
      </c>
      <c r="D1805" s="106">
        <v>52905.49</v>
      </c>
      <c r="E1805" s="87">
        <f t="shared" si="57"/>
        <v>5.9742812120475719E-3</v>
      </c>
    </row>
    <row r="1806" spans="1:5" x14ac:dyDescent="0.2">
      <c r="A1806" s="105" t="s">
        <v>2298</v>
      </c>
      <c r="B1806" s="106">
        <v>9.1</v>
      </c>
      <c r="C1806" s="87">
        <f t="shared" si="56"/>
        <v>-9.431067947124161E-2</v>
      </c>
      <c r="D1806" s="106">
        <v>54017.19</v>
      </c>
      <c r="E1806" s="87">
        <f t="shared" si="57"/>
        <v>2.0795215042559434E-2</v>
      </c>
    </row>
    <row r="1807" spans="1:5" x14ac:dyDescent="0.2">
      <c r="A1807" s="105" t="s">
        <v>2299</v>
      </c>
      <c r="B1807" s="106">
        <v>9.1</v>
      </c>
      <c r="C1807" s="87">
        <f t="shared" si="56"/>
        <v>0</v>
      </c>
      <c r="D1807" s="106">
        <v>54104.26</v>
      </c>
      <c r="E1807" s="87">
        <f t="shared" si="57"/>
        <v>1.6105965804520395E-3</v>
      </c>
    </row>
    <row r="1808" spans="1:5" x14ac:dyDescent="0.2">
      <c r="A1808" s="105" t="s">
        <v>2300</v>
      </c>
      <c r="B1808" s="106">
        <v>9.6</v>
      </c>
      <c r="C1808" s="87">
        <f t="shared" si="56"/>
        <v>5.3488684950986354E-2</v>
      </c>
      <c r="D1808" s="106">
        <v>53408.53</v>
      </c>
      <c r="E1808" s="87">
        <f t="shared" si="57"/>
        <v>-1.2942454783619439E-2</v>
      </c>
    </row>
    <row r="1809" spans="1:5" x14ac:dyDescent="0.2">
      <c r="A1809" s="105" t="s">
        <v>2301</v>
      </c>
      <c r="B1809" s="106">
        <v>9.5</v>
      </c>
      <c r="C1809" s="87">
        <f t="shared" si="56"/>
        <v>-1.0471299867295336E-2</v>
      </c>
      <c r="D1809" s="106">
        <v>53203.7</v>
      </c>
      <c r="E1809" s="87">
        <f t="shared" si="57"/>
        <v>-3.8425282357668067E-3</v>
      </c>
    </row>
    <row r="1810" spans="1:5" x14ac:dyDescent="0.2">
      <c r="A1810" s="105" t="s">
        <v>2302</v>
      </c>
      <c r="B1810" s="106">
        <v>9.6</v>
      </c>
      <c r="C1810" s="87">
        <f t="shared" si="56"/>
        <v>1.0471299867295336E-2</v>
      </c>
      <c r="D1810" s="106">
        <v>53956.79</v>
      </c>
      <c r="E1810" s="87">
        <f t="shared" si="57"/>
        <v>1.4055598258668311E-2</v>
      </c>
    </row>
    <row r="1811" spans="1:5" x14ac:dyDescent="0.2">
      <c r="A1811" s="105" t="s">
        <v>2303</v>
      </c>
      <c r="B1811" s="106">
        <v>10.3</v>
      </c>
      <c r="C1811" s="87">
        <f t="shared" si="56"/>
        <v>7.0380796761799314E-2</v>
      </c>
      <c r="D1811" s="106">
        <v>54357.69</v>
      </c>
      <c r="E1811" s="87">
        <f t="shared" si="57"/>
        <v>7.4025528387533512E-3</v>
      </c>
    </row>
    <row r="1812" spans="1:5" x14ac:dyDescent="0.2">
      <c r="A1812" s="105" t="s">
        <v>2304</v>
      </c>
      <c r="B1812" s="106">
        <v>10</v>
      </c>
      <c r="C1812" s="87">
        <f t="shared" si="56"/>
        <v>-2.9558802241544058E-2</v>
      </c>
      <c r="D1812" s="106">
        <v>54392.95</v>
      </c>
      <c r="E1812" s="87">
        <f t="shared" si="57"/>
        <v>6.4845597663776289E-4</v>
      </c>
    </row>
    <row r="1813" spans="1:5" x14ac:dyDescent="0.2">
      <c r="A1813" s="105" t="s">
        <v>2305</v>
      </c>
      <c r="B1813" s="106">
        <v>10.38</v>
      </c>
      <c r="C1813" s="87">
        <f t="shared" si="56"/>
        <v>3.7295784743696547E-2</v>
      </c>
      <c r="D1813" s="106">
        <v>53576.17</v>
      </c>
      <c r="E1813" s="87">
        <f t="shared" si="57"/>
        <v>-1.5130170210147398E-2</v>
      </c>
    </row>
    <row r="1814" spans="1:5" x14ac:dyDescent="0.2">
      <c r="A1814" s="105" t="s">
        <v>2306</v>
      </c>
      <c r="B1814" s="106">
        <v>10.38</v>
      </c>
      <c r="C1814" s="87">
        <f t="shared" si="56"/>
        <v>0</v>
      </c>
      <c r="D1814" s="106">
        <v>54278.69</v>
      </c>
      <c r="E1814" s="87">
        <f t="shared" si="57"/>
        <v>1.3027320890774519E-2</v>
      </c>
    </row>
    <row r="1815" spans="1:5" x14ac:dyDescent="0.2">
      <c r="A1815" s="105" t="s">
        <v>2307</v>
      </c>
      <c r="B1815" s="106">
        <v>10.38</v>
      </c>
      <c r="C1815" s="87">
        <f t="shared" si="56"/>
        <v>0</v>
      </c>
      <c r="D1815" s="106">
        <v>54749.74</v>
      </c>
      <c r="E1815" s="87">
        <f t="shared" si="57"/>
        <v>8.6409192708316596E-3</v>
      </c>
    </row>
    <row r="1816" spans="1:5" x14ac:dyDescent="0.2">
      <c r="A1816" s="105" t="s">
        <v>2308</v>
      </c>
      <c r="B1816" s="106">
        <v>10</v>
      </c>
      <c r="C1816" s="87">
        <f t="shared" si="56"/>
        <v>-3.7295784743696547E-2</v>
      </c>
      <c r="D1816" s="106">
        <v>55045.4</v>
      </c>
      <c r="E1816" s="87">
        <f t="shared" si="57"/>
        <v>5.3856794508000405E-3</v>
      </c>
    </row>
    <row r="1817" spans="1:5" x14ac:dyDescent="0.2">
      <c r="A1817" s="105" t="s">
        <v>2309</v>
      </c>
      <c r="B1817" s="106">
        <v>10.4</v>
      </c>
      <c r="C1817" s="87">
        <f t="shared" si="56"/>
        <v>3.9220713153281128E-2</v>
      </c>
      <c r="D1817" s="106">
        <v>55862.06</v>
      </c>
      <c r="E1817" s="87">
        <f t="shared" si="57"/>
        <v>1.4727138468428436E-2</v>
      </c>
    </row>
    <row r="1818" spans="1:5" x14ac:dyDescent="0.2">
      <c r="A1818" s="105" t="s">
        <v>2310</v>
      </c>
      <c r="B1818" s="106">
        <v>10</v>
      </c>
      <c r="C1818" s="87">
        <f t="shared" si="56"/>
        <v>-3.9220713153281128E-2</v>
      </c>
      <c r="D1818" s="106">
        <v>56828.92</v>
      </c>
      <c r="E1818" s="87">
        <f t="shared" si="57"/>
        <v>1.7159913335177635E-2</v>
      </c>
    </row>
    <row r="1819" spans="1:5" x14ac:dyDescent="0.2">
      <c r="A1819" s="105" t="s">
        <v>2311</v>
      </c>
      <c r="B1819" s="106">
        <v>9.42</v>
      </c>
      <c r="C1819" s="87">
        <f t="shared" si="56"/>
        <v>-5.975000440577416E-2</v>
      </c>
      <c r="D1819" s="106">
        <v>56925.9</v>
      </c>
      <c r="E1819" s="87">
        <f t="shared" si="57"/>
        <v>1.7050710202095587E-3</v>
      </c>
    </row>
    <row r="1820" spans="1:5" x14ac:dyDescent="0.2">
      <c r="A1820" s="105" t="s">
        <v>2312</v>
      </c>
      <c r="B1820" s="106">
        <v>10</v>
      </c>
      <c r="C1820" s="87">
        <f t="shared" si="56"/>
        <v>5.975000440577416E-2</v>
      </c>
      <c r="D1820" s="106">
        <v>57044.04</v>
      </c>
      <c r="E1820" s="87">
        <f t="shared" si="57"/>
        <v>2.0731789858707828E-3</v>
      </c>
    </row>
    <row r="1821" spans="1:5" x14ac:dyDescent="0.2">
      <c r="A1821" s="105" t="s">
        <v>2313</v>
      </c>
      <c r="B1821" s="106">
        <v>10</v>
      </c>
      <c r="C1821" s="87">
        <f t="shared" si="56"/>
        <v>0</v>
      </c>
      <c r="D1821" s="106">
        <v>56901.42</v>
      </c>
      <c r="E1821" s="87">
        <f t="shared" si="57"/>
        <v>-2.5033042032163166E-3</v>
      </c>
    </row>
    <row r="1822" spans="1:5" x14ac:dyDescent="0.2">
      <c r="A1822" s="105" t="s">
        <v>2314</v>
      </c>
      <c r="B1822" s="106">
        <v>10.44</v>
      </c>
      <c r="C1822" s="87">
        <f t="shared" si="56"/>
        <v>4.3059489460446798E-2</v>
      </c>
      <c r="D1822" s="106">
        <v>56845.83</v>
      </c>
      <c r="E1822" s="87">
        <f t="shared" si="57"/>
        <v>-9.7743030140584608E-4</v>
      </c>
    </row>
    <row r="1823" spans="1:5" x14ac:dyDescent="0.2">
      <c r="A1823" s="105" t="s">
        <v>2315</v>
      </c>
      <c r="B1823" s="106">
        <v>10.44</v>
      </c>
      <c r="C1823" s="87">
        <f t="shared" si="56"/>
        <v>0</v>
      </c>
      <c r="D1823" s="106">
        <v>57304.71</v>
      </c>
      <c r="E1823" s="87">
        <f t="shared" si="57"/>
        <v>8.0399527126733261E-3</v>
      </c>
    </row>
    <row r="1824" spans="1:5" x14ac:dyDescent="0.2">
      <c r="A1824" s="105" t="s">
        <v>2316</v>
      </c>
      <c r="B1824" s="106">
        <v>10</v>
      </c>
      <c r="C1824" s="87">
        <f t="shared" si="56"/>
        <v>-4.3059489460446798E-2</v>
      </c>
      <c r="D1824" s="106">
        <v>57262.52</v>
      </c>
      <c r="E1824" s="87">
        <f t="shared" si="57"/>
        <v>-7.365108139065768E-4</v>
      </c>
    </row>
    <row r="1825" spans="1:5" x14ac:dyDescent="0.2">
      <c r="A1825" s="105" t="s">
        <v>2317</v>
      </c>
      <c r="B1825" s="106">
        <v>10.4</v>
      </c>
      <c r="C1825" s="87">
        <f t="shared" si="56"/>
        <v>3.9220713153281128E-2</v>
      </c>
      <c r="D1825" s="106">
        <v>56911.34</v>
      </c>
      <c r="E1825" s="87">
        <f t="shared" si="57"/>
        <v>-6.1516901939420165E-3</v>
      </c>
    </row>
    <row r="1826" spans="1:5" x14ac:dyDescent="0.2">
      <c r="A1826" s="105" t="s">
        <v>2318</v>
      </c>
      <c r="B1826" s="106">
        <v>9.89</v>
      </c>
      <c r="C1826" s="87">
        <f t="shared" si="56"/>
        <v>-5.0281660512706328E-2</v>
      </c>
      <c r="D1826" s="106">
        <v>56928.56</v>
      </c>
      <c r="E1826" s="87">
        <f t="shared" si="57"/>
        <v>3.0253013453673816E-4</v>
      </c>
    </row>
    <row r="1827" spans="1:5" x14ac:dyDescent="0.2">
      <c r="A1827" s="105" t="s">
        <v>2319</v>
      </c>
      <c r="B1827" s="106">
        <v>9.1</v>
      </c>
      <c r="C1827" s="87">
        <f t="shared" si="56"/>
        <v>-8.324973211181641E-2</v>
      </c>
      <c r="D1827" s="106">
        <v>56699.49</v>
      </c>
      <c r="E1827" s="87">
        <f t="shared" si="57"/>
        <v>-4.0319324378526034E-3</v>
      </c>
    </row>
    <row r="1828" spans="1:5" x14ac:dyDescent="0.2">
      <c r="A1828" s="105" t="s">
        <v>2320</v>
      </c>
      <c r="B1828" s="106">
        <v>9.1</v>
      </c>
      <c r="C1828" s="87">
        <f t="shared" si="56"/>
        <v>0</v>
      </c>
      <c r="D1828" s="106">
        <v>56477.69</v>
      </c>
      <c r="E1828" s="87">
        <f t="shared" si="57"/>
        <v>-3.9195230691060345E-3</v>
      </c>
    </row>
    <row r="1829" spans="1:5" x14ac:dyDescent="0.2">
      <c r="A1829" s="105" t="s">
        <v>2321</v>
      </c>
      <c r="B1829" s="106">
        <v>9.48</v>
      </c>
      <c r="C1829" s="87">
        <f t="shared" si="56"/>
        <v>4.0909902744126203E-2</v>
      </c>
      <c r="D1829" s="106">
        <v>56993.2</v>
      </c>
      <c r="E1829" s="87">
        <f t="shared" si="57"/>
        <v>9.08626955718006E-3</v>
      </c>
    </row>
    <row r="1830" spans="1:5" x14ac:dyDescent="0.2">
      <c r="A1830" s="105" t="s">
        <v>2322</v>
      </c>
      <c r="B1830" s="106">
        <v>9.5</v>
      </c>
      <c r="C1830" s="87">
        <f t="shared" si="56"/>
        <v>2.1074823395648146E-3</v>
      </c>
      <c r="D1830" s="106">
        <v>56492.95</v>
      </c>
      <c r="E1830" s="87">
        <f t="shared" si="57"/>
        <v>-8.816110866517235E-3</v>
      </c>
    </row>
    <row r="1831" spans="1:5" x14ac:dyDescent="0.2">
      <c r="A1831" s="105" t="s">
        <v>2323</v>
      </c>
      <c r="B1831" s="106">
        <v>9.3000000000000007</v>
      </c>
      <c r="C1831" s="87">
        <f t="shared" si="56"/>
        <v>-2.1277398447284934E-2</v>
      </c>
      <c r="D1831" s="106">
        <v>56450.94</v>
      </c>
      <c r="E1831" s="87">
        <f t="shared" si="57"/>
        <v>-7.4390924444678319E-4</v>
      </c>
    </row>
    <row r="1832" spans="1:5" x14ac:dyDescent="0.2">
      <c r="A1832" s="105" t="s">
        <v>2324</v>
      </c>
      <c r="B1832" s="106">
        <v>9.5</v>
      </c>
      <c r="C1832" s="87">
        <f t="shared" si="56"/>
        <v>2.1277398447284934E-2</v>
      </c>
      <c r="D1832" s="106">
        <v>56226.22</v>
      </c>
      <c r="E1832" s="87">
        <f t="shared" si="57"/>
        <v>-3.9887462187184752E-3</v>
      </c>
    </row>
    <row r="1833" spans="1:5" x14ac:dyDescent="0.2">
      <c r="A1833" s="105" t="s">
        <v>2325</v>
      </c>
      <c r="B1833" s="106">
        <v>9.3000000000000007</v>
      </c>
      <c r="C1833" s="87">
        <f t="shared" si="56"/>
        <v>-2.1277398447284934E-2</v>
      </c>
      <c r="D1833" s="106">
        <v>56191.3</v>
      </c>
      <c r="E1833" s="87">
        <f t="shared" si="57"/>
        <v>-6.2125549688651915E-4</v>
      </c>
    </row>
    <row r="1834" spans="1:5" x14ac:dyDescent="0.2">
      <c r="A1834" s="105" t="s">
        <v>2326</v>
      </c>
      <c r="B1834" s="106">
        <v>9</v>
      </c>
      <c r="C1834" s="87">
        <f t="shared" si="56"/>
        <v>-3.2789822822990811E-2</v>
      </c>
      <c r="D1834" s="106">
        <v>55459.57</v>
      </c>
      <c r="E1834" s="87">
        <f t="shared" si="57"/>
        <v>-1.3107653823928089E-2</v>
      </c>
    </row>
    <row r="1835" spans="1:5" x14ac:dyDescent="0.2">
      <c r="A1835" s="105" t="s">
        <v>2327</v>
      </c>
      <c r="B1835" s="106">
        <v>9.19</v>
      </c>
      <c r="C1835" s="87">
        <f t="shared" si="56"/>
        <v>2.0891359031375956E-2</v>
      </c>
      <c r="D1835" s="106">
        <v>55648.2</v>
      </c>
      <c r="E1835" s="87">
        <f t="shared" si="57"/>
        <v>3.3954453631288573E-3</v>
      </c>
    </row>
    <row r="1836" spans="1:5" x14ac:dyDescent="0.2">
      <c r="A1836" s="105" t="s">
        <v>2328</v>
      </c>
      <c r="B1836" s="106">
        <v>9.19</v>
      </c>
      <c r="C1836" s="87">
        <f t="shared" si="56"/>
        <v>0</v>
      </c>
      <c r="D1836" s="106">
        <v>54971.31</v>
      </c>
      <c r="E1836" s="87">
        <f t="shared" si="57"/>
        <v>-1.2238319415711629E-2</v>
      </c>
    </row>
    <row r="1837" spans="1:5" x14ac:dyDescent="0.2">
      <c r="A1837" s="105" t="s">
        <v>2329</v>
      </c>
      <c r="B1837" s="106">
        <v>9.2899999999999991</v>
      </c>
      <c r="C1837" s="87">
        <f t="shared" si="56"/>
        <v>1.0822616458151746E-2</v>
      </c>
      <c r="D1837" s="106">
        <v>55027.41</v>
      </c>
      <c r="E1837" s="87">
        <f t="shared" si="57"/>
        <v>1.0200119576673217E-3</v>
      </c>
    </row>
    <row r="1838" spans="1:5" x14ac:dyDescent="0.2">
      <c r="A1838" s="105" t="s">
        <v>2330</v>
      </c>
      <c r="B1838" s="106">
        <v>9.5</v>
      </c>
      <c r="C1838" s="87">
        <f t="shared" si="56"/>
        <v>2.2353245780748043E-2</v>
      </c>
      <c r="D1838" s="106">
        <v>55026.26</v>
      </c>
      <c r="E1838" s="87">
        <f t="shared" si="57"/>
        <v>-2.0898894149468106E-5</v>
      </c>
    </row>
    <row r="1839" spans="1:5" x14ac:dyDescent="0.2">
      <c r="A1839" s="105" t="s">
        <v>2331</v>
      </c>
      <c r="B1839" s="106">
        <v>9.1999999999999993</v>
      </c>
      <c r="C1839" s="87">
        <f t="shared" si="56"/>
        <v>-3.2088314551500741E-2</v>
      </c>
      <c r="D1839" s="106">
        <v>55063.85</v>
      </c>
      <c r="E1839" s="87">
        <f t="shared" si="57"/>
        <v>6.8289515671793311E-4</v>
      </c>
    </row>
    <row r="1840" spans="1:5" x14ac:dyDescent="0.2">
      <c r="A1840" s="105" t="s">
        <v>2332</v>
      </c>
      <c r="B1840" s="106">
        <v>9.0500000000000007</v>
      </c>
      <c r="C1840" s="87">
        <f t="shared" si="56"/>
        <v>-1.6438726343159793E-2</v>
      </c>
      <c r="D1840" s="106">
        <v>54647.1</v>
      </c>
      <c r="E1840" s="87">
        <f t="shared" si="57"/>
        <v>-7.5972727337667578E-3</v>
      </c>
    </row>
    <row r="1841" spans="1:5" x14ac:dyDescent="0.2">
      <c r="A1841" s="105" t="s">
        <v>2333</v>
      </c>
      <c r="B1841" s="106">
        <v>9</v>
      </c>
      <c r="C1841" s="87">
        <f t="shared" si="56"/>
        <v>-5.5401803756152113E-3</v>
      </c>
      <c r="D1841" s="106">
        <v>54490.95</v>
      </c>
      <c r="E1841" s="87">
        <f t="shared" si="57"/>
        <v>-2.8615154210616112E-3</v>
      </c>
    </row>
    <row r="1842" spans="1:5" x14ac:dyDescent="0.2">
      <c r="A1842" s="105" t="s">
        <v>2334</v>
      </c>
      <c r="B1842" s="106">
        <v>8.9499999999999993</v>
      </c>
      <c r="C1842" s="87">
        <f t="shared" si="56"/>
        <v>-5.5710450494554919E-3</v>
      </c>
      <c r="D1842" s="106">
        <v>54179.040000000001</v>
      </c>
      <c r="E1842" s="87">
        <f t="shared" si="57"/>
        <v>-5.7405150500837721E-3</v>
      </c>
    </row>
    <row r="1843" spans="1:5" x14ac:dyDescent="0.2">
      <c r="A1843" s="105" t="s">
        <v>499</v>
      </c>
      <c r="B1843" s="106">
        <v>8.9499999999999993</v>
      </c>
      <c r="C1843" s="87">
        <f t="shared" si="56"/>
        <v>0</v>
      </c>
      <c r="D1843" s="106">
        <v>54032.68</v>
      </c>
      <c r="E1843" s="87">
        <f t="shared" si="57"/>
        <v>-2.7050690858221316E-3</v>
      </c>
    </row>
    <row r="1844" spans="1:5" x14ac:dyDescent="0.2">
      <c r="A1844" s="105" t="s">
        <v>2335</v>
      </c>
      <c r="B1844" s="106">
        <v>8.9499999999999993</v>
      </c>
      <c r="C1844" s="87">
        <f t="shared" si="56"/>
        <v>0</v>
      </c>
      <c r="D1844" s="106">
        <v>54091.32</v>
      </c>
      <c r="E1844" s="87">
        <f t="shared" si="57"/>
        <v>1.0846806583053592E-3</v>
      </c>
    </row>
    <row r="1845" spans="1:5" x14ac:dyDescent="0.2">
      <c r="A1845" s="105" t="s">
        <v>2336</v>
      </c>
      <c r="B1845" s="106">
        <v>8.9499999999999993</v>
      </c>
      <c r="C1845" s="87">
        <f t="shared" si="56"/>
        <v>0</v>
      </c>
      <c r="D1845" s="106">
        <v>54106.37</v>
      </c>
      <c r="E1845" s="87">
        <f t="shared" si="57"/>
        <v>2.7819448080634857E-4</v>
      </c>
    </row>
    <row r="1846" spans="1:5" x14ac:dyDescent="0.2">
      <c r="A1846" s="105" t="s">
        <v>2337</v>
      </c>
      <c r="B1846" s="106">
        <v>9.1999999999999993</v>
      </c>
      <c r="C1846" s="87">
        <f t="shared" si="56"/>
        <v>2.7549951768230496E-2</v>
      </c>
      <c r="D1846" s="106">
        <v>53607.28</v>
      </c>
      <c r="E1846" s="87">
        <f t="shared" si="57"/>
        <v>-9.2670440884106142E-3</v>
      </c>
    </row>
    <row r="1847" spans="1:5" x14ac:dyDescent="0.2">
      <c r="A1847" s="105" t="s">
        <v>2338</v>
      </c>
      <c r="B1847" s="106">
        <v>9.27</v>
      </c>
      <c r="C1847" s="87">
        <f t="shared" si="56"/>
        <v>7.5798955227690534E-3</v>
      </c>
      <c r="D1847" s="106">
        <v>53649.9</v>
      </c>
      <c r="E1847" s="87">
        <f t="shared" si="57"/>
        <v>7.9472539261615793E-4</v>
      </c>
    </row>
    <row r="1848" spans="1:5" x14ac:dyDescent="0.2">
      <c r="A1848" s="105" t="s">
        <v>2339</v>
      </c>
      <c r="B1848" s="106">
        <v>9.4</v>
      </c>
      <c r="C1848" s="87">
        <f t="shared" si="56"/>
        <v>1.392630969819475E-2</v>
      </c>
      <c r="D1848" s="106">
        <v>54138.34</v>
      </c>
      <c r="E1848" s="87">
        <f t="shared" si="57"/>
        <v>9.0630173254027113E-3</v>
      </c>
    </row>
    <row r="1849" spans="1:5" x14ac:dyDescent="0.2">
      <c r="A1849" s="105" t="s">
        <v>2340</v>
      </c>
      <c r="B1849" s="106">
        <v>9.8800000000000008</v>
      </c>
      <c r="C1849" s="87">
        <f t="shared" si="56"/>
        <v>4.9802822483818066E-2</v>
      </c>
      <c r="D1849" s="106">
        <v>54437.39</v>
      </c>
      <c r="E1849" s="87">
        <f t="shared" si="57"/>
        <v>5.5086114773033046E-3</v>
      </c>
    </row>
    <row r="1850" spans="1:5" x14ac:dyDescent="0.2">
      <c r="A1850" s="105" t="s">
        <v>2341</v>
      </c>
      <c r="B1850" s="106">
        <v>9.9</v>
      </c>
      <c r="C1850" s="87">
        <f t="shared" si="56"/>
        <v>2.0222453807678953E-3</v>
      </c>
      <c r="D1850" s="106">
        <v>54564.54</v>
      </c>
      <c r="E1850" s="87">
        <f t="shared" si="57"/>
        <v>2.3329872722683831E-3</v>
      </c>
    </row>
    <row r="1851" spans="1:5" x14ac:dyDescent="0.2">
      <c r="A1851" s="105" t="s">
        <v>2342</v>
      </c>
      <c r="B1851" s="106">
        <v>9</v>
      </c>
      <c r="C1851" s="87">
        <f t="shared" si="56"/>
        <v>-9.5310179804324768E-2</v>
      </c>
      <c r="D1851" s="106">
        <v>54477.36</v>
      </c>
      <c r="E1851" s="87">
        <f t="shared" si="57"/>
        <v>-1.5990186997036915E-3</v>
      </c>
    </row>
    <row r="1852" spans="1:5" x14ac:dyDescent="0.2">
      <c r="A1852" s="105" t="s">
        <v>2343</v>
      </c>
      <c r="B1852" s="106">
        <v>8.42</v>
      </c>
      <c r="C1852" s="87">
        <f t="shared" si="56"/>
        <v>-6.6614749081984392E-2</v>
      </c>
      <c r="D1852" s="106">
        <v>54148.480000000003</v>
      </c>
      <c r="E1852" s="87">
        <f t="shared" si="57"/>
        <v>-6.055299639756484E-3</v>
      </c>
    </row>
    <row r="1853" spans="1:5" x14ac:dyDescent="0.2">
      <c r="A1853" s="105" t="s">
        <v>2344</v>
      </c>
      <c r="B1853" s="106">
        <v>8.41</v>
      </c>
      <c r="C1853" s="87">
        <f t="shared" si="56"/>
        <v>-1.1883542693786886E-3</v>
      </c>
      <c r="D1853" s="106">
        <v>53364.63</v>
      </c>
      <c r="E1853" s="87">
        <f t="shared" si="57"/>
        <v>-1.4581735918998362E-2</v>
      </c>
    </row>
    <row r="1854" spans="1:5" x14ac:dyDescent="0.2">
      <c r="A1854" s="105" t="s">
        <v>2345</v>
      </c>
      <c r="B1854" s="106">
        <v>8.8000000000000007</v>
      </c>
      <c r="C1854" s="87">
        <f t="shared" si="56"/>
        <v>4.5330247499304477E-2</v>
      </c>
      <c r="D1854" s="106">
        <v>53197.78</v>
      </c>
      <c r="E1854" s="87">
        <f t="shared" si="57"/>
        <v>-3.1315008049901394E-3</v>
      </c>
    </row>
    <row r="1855" spans="1:5" x14ac:dyDescent="0.2">
      <c r="A1855" s="105" t="s">
        <v>2346</v>
      </c>
      <c r="B1855" s="106">
        <v>8.6</v>
      </c>
      <c r="C1855" s="87">
        <f t="shared" si="56"/>
        <v>-2.2989518224699079E-2</v>
      </c>
      <c r="D1855" s="106">
        <v>52874.239999999998</v>
      </c>
      <c r="E1855" s="87">
        <f t="shared" si="57"/>
        <v>-6.1004024129154288E-3</v>
      </c>
    </row>
    <row r="1856" spans="1:5" x14ac:dyDescent="0.2">
      <c r="A1856" s="105" t="s">
        <v>2347</v>
      </c>
      <c r="B1856" s="106">
        <v>8.6</v>
      </c>
      <c r="C1856" s="87">
        <f t="shared" si="56"/>
        <v>0</v>
      </c>
      <c r="D1856" s="106">
        <v>53136.13</v>
      </c>
      <c r="E1856" s="87">
        <f t="shared" si="57"/>
        <v>4.9408474429579741E-3</v>
      </c>
    </row>
    <row r="1857" spans="1:5" x14ac:dyDescent="0.2">
      <c r="A1857" s="105" t="s">
        <v>2348</v>
      </c>
      <c r="B1857" s="106">
        <v>8.8000000000000007</v>
      </c>
      <c r="C1857" s="87">
        <f t="shared" si="56"/>
        <v>2.2989518224699079E-2</v>
      </c>
      <c r="D1857" s="106">
        <v>53041.440000000002</v>
      </c>
      <c r="E1857" s="87">
        <f t="shared" si="57"/>
        <v>-1.7836163533022642E-3</v>
      </c>
    </row>
    <row r="1858" spans="1:5" x14ac:dyDescent="0.2">
      <c r="A1858" s="105" t="s">
        <v>2349</v>
      </c>
      <c r="B1858" s="106">
        <v>8.7799999999999994</v>
      </c>
      <c r="C1858" s="87">
        <f t="shared" si="56"/>
        <v>-2.2753138371358617E-3</v>
      </c>
      <c r="D1858" s="106">
        <v>53381.8</v>
      </c>
      <c r="E1858" s="87">
        <f t="shared" si="57"/>
        <v>6.3963690720836297E-3</v>
      </c>
    </row>
    <row r="1859" spans="1:5" x14ac:dyDescent="0.2">
      <c r="A1859" s="105" t="s">
        <v>2350</v>
      </c>
      <c r="B1859" s="106">
        <v>8.61</v>
      </c>
      <c r="C1859" s="87">
        <f t="shared" si="56"/>
        <v>-1.9552089207385936E-2</v>
      </c>
      <c r="D1859" s="106">
        <v>53546.400000000001</v>
      </c>
      <c r="E1859" s="87">
        <f t="shared" si="57"/>
        <v>3.078703840749597E-3</v>
      </c>
    </row>
    <row r="1860" spans="1:5" x14ac:dyDescent="0.2">
      <c r="A1860" s="105" t="s">
        <v>2351</v>
      </c>
      <c r="B1860" s="106">
        <v>8.8000000000000007</v>
      </c>
      <c r="C1860" s="87">
        <f t="shared" si="56"/>
        <v>2.1827403044521798E-2</v>
      </c>
      <c r="D1860" s="106">
        <v>53343.92</v>
      </c>
      <c r="E1860" s="87">
        <f t="shared" si="57"/>
        <v>-3.7885608759733458E-3</v>
      </c>
    </row>
    <row r="1861" spans="1:5" x14ac:dyDescent="0.2">
      <c r="A1861" s="105" t="s">
        <v>2352</v>
      </c>
      <c r="B1861" s="106">
        <v>8.6</v>
      </c>
      <c r="C1861" s="87">
        <f t="shared" ref="C1861:C1921" si="58">LN(B1861)-LN(B1860)</f>
        <v>-2.2989518224699079E-2</v>
      </c>
      <c r="D1861" s="106">
        <v>53304.21</v>
      </c>
      <c r="E1861" s="87">
        <f t="shared" ref="E1861:E1921" si="59">LN(D1861)-LN(D1860)</f>
        <v>-7.44691947906162E-4</v>
      </c>
    </row>
    <row r="1862" spans="1:5" x14ac:dyDescent="0.2">
      <c r="A1862" s="105" t="s">
        <v>2353</v>
      </c>
      <c r="B1862" s="106">
        <v>9.25</v>
      </c>
      <c r="C1862" s="87">
        <f t="shared" si="58"/>
        <v>7.2861348264872117E-2</v>
      </c>
      <c r="D1862" s="106">
        <v>53042.6</v>
      </c>
      <c r="E1862" s="87">
        <f t="shared" si="59"/>
        <v>-4.9199506352639588E-3</v>
      </c>
    </row>
    <row r="1863" spans="1:5" x14ac:dyDescent="0.2">
      <c r="A1863" s="105" t="s">
        <v>2354</v>
      </c>
      <c r="B1863" s="106">
        <v>9.35</v>
      </c>
      <c r="C1863" s="87">
        <f t="shared" si="58"/>
        <v>1.0752791776261539E-2</v>
      </c>
      <c r="D1863" s="106">
        <v>52871.46</v>
      </c>
      <c r="E1863" s="87">
        <f t="shared" si="59"/>
        <v>-3.2316795134708087E-3</v>
      </c>
    </row>
    <row r="1864" spans="1:5" x14ac:dyDescent="0.2">
      <c r="A1864" s="105" t="s">
        <v>2355</v>
      </c>
      <c r="B1864" s="106">
        <v>8.8000000000000007</v>
      </c>
      <c r="C1864" s="87">
        <f t="shared" si="58"/>
        <v>-6.0624621816434576E-2</v>
      </c>
      <c r="D1864" s="106">
        <v>52949.64</v>
      </c>
      <c r="E1864" s="87">
        <f t="shared" si="59"/>
        <v>1.4775883868889395E-3</v>
      </c>
    </row>
    <row r="1865" spans="1:5" x14ac:dyDescent="0.2">
      <c r="A1865" s="105" t="s">
        <v>2356</v>
      </c>
      <c r="B1865" s="106">
        <v>8.8000000000000007</v>
      </c>
      <c r="C1865" s="87">
        <f t="shared" si="58"/>
        <v>0</v>
      </c>
      <c r="D1865" s="106">
        <v>52911.87</v>
      </c>
      <c r="E1865" s="87">
        <f t="shared" si="59"/>
        <v>-7.1357383061432245E-4</v>
      </c>
    </row>
    <row r="1866" spans="1:5" x14ac:dyDescent="0.2">
      <c r="A1866" s="105" t="s">
        <v>2357</v>
      </c>
      <c r="B1866" s="106">
        <v>8.6</v>
      </c>
      <c r="C1866" s="87">
        <f t="shared" si="58"/>
        <v>-2.2989518224699079E-2</v>
      </c>
      <c r="D1866" s="106">
        <v>52566.43</v>
      </c>
      <c r="E1866" s="87">
        <f t="shared" si="59"/>
        <v>-6.5499962554884661E-3</v>
      </c>
    </row>
    <row r="1867" spans="1:5" x14ac:dyDescent="0.2">
      <c r="A1867" s="105" t="s">
        <v>2358</v>
      </c>
      <c r="B1867" s="106">
        <v>8.6</v>
      </c>
      <c r="C1867" s="87">
        <f t="shared" si="58"/>
        <v>0</v>
      </c>
      <c r="D1867" s="106">
        <v>52641.26</v>
      </c>
      <c r="E1867" s="87">
        <f t="shared" si="59"/>
        <v>1.4225198294646191E-3</v>
      </c>
    </row>
    <row r="1868" spans="1:5" x14ac:dyDescent="0.2">
      <c r="A1868" s="105" t="s">
        <v>2359</v>
      </c>
      <c r="B1868" s="106">
        <v>9</v>
      </c>
      <c r="C1868" s="87">
        <f t="shared" si="58"/>
        <v>4.5462374076757683E-2</v>
      </c>
      <c r="D1868" s="106">
        <v>52368.83</v>
      </c>
      <c r="E1868" s="87">
        <f t="shared" si="59"/>
        <v>-5.1886558939209237E-3</v>
      </c>
    </row>
    <row r="1869" spans="1:5" x14ac:dyDescent="0.2">
      <c r="A1869" s="105" t="s">
        <v>2360</v>
      </c>
      <c r="B1869" s="106">
        <v>9.34</v>
      </c>
      <c r="C1869" s="87">
        <f t="shared" si="58"/>
        <v>3.7081674904531514E-2</v>
      </c>
      <c r="D1869" s="106">
        <v>52139.81</v>
      </c>
      <c r="E1869" s="87">
        <f t="shared" si="59"/>
        <v>-4.3828025434606843E-3</v>
      </c>
    </row>
    <row r="1870" spans="1:5" x14ac:dyDescent="0.2">
      <c r="A1870" s="105" t="s">
        <v>2361</v>
      </c>
      <c r="B1870" s="106">
        <v>8.8000000000000007</v>
      </c>
      <c r="C1870" s="87">
        <f t="shared" si="58"/>
        <v>-5.9554530756590118E-2</v>
      </c>
      <c r="D1870" s="106">
        <v>51893.79</v>
      </c>
      <c r="E1870" s="87">
        <f t="shared" si="59"/>
        <v>-4.7296346297880376E-3</v>
      </c>
    </row>
    <row r="1871" spans="1:5" x14ac:dyDescent="0.2">
      <c r="A1871" s="105" t="s">
        <v>2362</v>
      </c>
      <c r="B1871" s="106">
        <v>8.8000000000000007</v>
      </c>
      <c r="C1871" s="87">
        <f t="shared" si="58"/>
        <v>0</v>
      </c>
      <c r="D1871" s="106">
        <v>52140.43</v>
      </c>
      <c r="E1871" s="87">
        <f t="shared" si="59"/>
        <v>4.7415256649454562E-3</v>
      </c>
    </row>
    <row r="1872" spans="1:5" x14ac:dyDescent="0.2">
      <c r="A1872" s="105" t="s">
        <v>2363</v>
      </c>
      <c r="B1872" s="106">
        <v>8.61</v>
      </c>
      <c r="C1872" s="87">
        <f t="shared" si="58"/>
        <v>-2.1827403044521798E-2</v>
      </c>
      <c r="D1872" s="106">
        <v>52137.58</v>
      </c>
      <c r="E1872" s="87">
        <f t="shared" si="59"/>
        <v>-5.4661572479020037E-5</v>
      </c>
    </row>
    <row r="1873" spans="1:5" x14ac:dyDescent="0.2">
      <c r="A1873" s="105" t="s">
        <v>2364</v>
      </c>
      <c r="B1873" s="106">
        <v>9.25</v>
      </c>
      <c r="C1873" s="87">
        <f t="shared" si="58"/>
        <v>7.1699233084694836E-2</v>
      </c>
      <c r="D1873" s="106">
        <v>52417.42</v>
      </c>
      <c r="E1873" s="87">
        <f t="shared" si="59"/>
        <v>5.3529849021369813E-3</v>
      </c>
    </row>
    <row r="1874" spans="1:5" x14ac:dyDescent="0.2">
      <c r="A1874" s="105" t="s">
        <v>2365</v>
      </c>
      <c r="B1874" s="106">
        <v>9.39</v>
      </c>
      <c r="C1874" s="87">
        <f t="shared" si="58"/>
        <v>1.5021741695837587E-2</v>
      </c>
      <c r="D1874" s="106">
        <v>52107.26</v>
      </c>
      <c r="E1874" s="87">
        <f t="shared" si="59"/>
        <v>-5.9346923680401176E-3</v>
      </c>
    </row>
    <row r="1875" spans="1:5" x14ac:dyDescent="0.2">
      <c r="A1875" s="105" t="s">
        <v>2366</v>
      </c>
      <c r="B1875" s="106">
        <v>9.59</v>
      </c>
      <c r="C1875" s="87">
        <f t="shared" si="58"/>
        <v>2.1075595675175141E-2</v>
      </c>
      <c r="D1875" s="106">
        <v>52049.85</v>
      </c>
      <c r="E1875" s="87">
        <f t="shared" si="59"/>
        <v>-1.1023732477575265E-3</v>
      </c>
    </row>
    <row r="1876" spans="1:5" x14ac:dyDescent="0.2">
      <c r="A1876" s="105" t="s">
        <v>2367</v>
      </c>
      <c r="B1876" s="106">
        <v>8.8000000000000007</v>
      </c>
      <c r="C1876" s="87">
        <f t="shared" si="58"/>
        <v>-8.5969167411185765E-2</v>
      </c>
      <c r="D1876" s="106">
        <v>52030.36</v>
      </c>
      <c r="E1876" s="87">
        <f t="shared" si="59"/>
        <v>-3.7451884902672816E-4</v>
      </c>
    </row>
    <row r="1877" spans="1:5" x14ac:dyDescent="0.2">
      <c r="A1877" s="105" t="s">
        <v>2368</v>
      </c>
      <c r="B1877" s="106">
        <v>9.8000000000000007</v>
      </c>
      <c r="C1877" s="87">
        <f t="shared" si="58"/>
        <v>0.10763066419236544</v>
      </c>
      <c r="D1877" s="106">
        <v>51923.51</v>
      </c>
      <c r="E1877" s="87">
        <f t="shared" si="59"/>
        <v>-2.0557202464672741E-3</v>
      </c>
    </row>
    <row r="1878" spans="1:5" x14ac:dyDescent="0.2">
      <c r="A1878" s="105" t="s">
        <v>2369</v>
      </c>
      <c r="B1878" s="106">
        <v>9.5</v>
      </c>
      <c r="C1878" s="87">
        <f t="shared" si="58"/>
        <v>-3.1090587070031095E-2</v>
      </c>
      <c r="D1878" s="106">
        <v>51706.19</v>
      </c>
      <c r="E1878" s="87">
        <f t="shared" si="59"/>
        <v>-4.1941705625738734E-3</v>
      </c>
    </row>
    <row r="1879" spans="1:5" x14ac:dyDescent="0.2">
      <c r="A1879" s="105" t="s">
        <v>2370</v>
      </c>
      <c r="B1879" s="106">
        <v>9.5</v>
      </c>
      <c r="C1879" s="87">
        <f t="shared" si="58"/>
        <v>0</v>
      </c>
      <c r="D1879" s="106">
        <v>51578.85</v>
      </c>
      <c r="E1879" s="87">
        <f t="shared" si="59"/>
        <v>-2.4657988130840636E-3</v>
      </c>
    </row>
    <row r="1880" spans="1:5" x14ac:dyDescent="0.2">
      <c r="A1880" s="105" t="s">
        <v>2371</v>
      </c>
      <c r="B1880" s="106">
        <v>9.8000000000000007</v>
      </c>
      <c r="C1880" s="87">
        <f t="shared" si="58"/>
        <v>3.1090587070031095E-2</v>
      </c>
      <c r="D1880" s="106">
        <v>51516.62</v>
      </c>
      <c r="E1880" s="87">
        <f t="shared" si="59"/>
        <v>-1.2072306873971428E-3</v>
      </c>
    </row>
    <row r="1881" spans="1:5" x14ac:dyDescent="0.2">
      <c r="A1881" s="105" t="s">
        <v>2372</v>
      </c>
      <c r="B1881" s="106">
        <v>9.75</v>
      </c>
      <c r="C1881" s="87">
        <f t="shared" si="58"/>
        <v>-5.1151006667704557E-3</v>
      </c>
      <c r="D1881" s="106">
        <v>51680.12</v>
      </c>
      <c r="E1881" s="87">
        <f t="shared" si="59"/>
        <v>3.1687073991797376E-3</v>
      </c>
    </row>
    <row r="1882" spans="1:5" x14ac:dyDescent="0.2">
      <c r="A1882" s="105" t="s">
        <v>2373</v>
      </c>
      <c r="B1882" s="106">
        <v>10</v>
      </c>
      <c r="C1882" s="87">
        <f t="shared" si="58"/>
        <v>2.5317807984289953E-2</v>
      </c>
      <c r="D1882" s="106">
        <v>50230.33</v>
      </c>
      <c r="E1882" s="87">
        <f t="shared" si="59"/>
        <v>-2.845415393368711E-2</v>
      </c>
    </row>
    <row r="1883" spans="1:5" x14ac:dyDescent="0.2">
      <c r="A1883" s="105" t="s">
        <v>2374</v>
      </c>
      <c r="B1883" s="106">
        <v>10.199999999999999</v>
      </c>
      <c r="C1883" s="87">
        <f t="shared" si="58"/>
        <v>1.980262729617932E-2</v>
      </c>
      <c r="D1883" s="106">
        <v>50616.63</v>
      </c>
      <c r="E1883" s="87">
        <f t="shared" si="59"/>
        <v>7.6611509049193671E-3</v>
      </c>
    </row>
    <row r="1884" spans="1:5" x14ac:dyDescent="0.2">
      <c r="A1884" s="105" t="s">
        <v>2375</v>
      </c>
      <c r="B1884" s="106">
        <v>9.4</v>
      </c>
      <c r="C1884" s="87">
        <f t="shared" si="58"/>
        <v>-8.167803101426685E-2</v>
      </c>
      <c r="D1884" s="106">
        <v>51910.3</v>
      </c>
      <c r="E1884" s="87">
        <f t="shared" si="59"/>
        <v>2.5237050631419677E-2</v>
      </c>
    </row>
    <row r="1885" spans="1:5" x14ac:dyDescent="0.2">
      <c r="A1885" s="105" t="s">
        <v>2376</v>
      </c>
      <c r="B1885" s="106">
        <v>8.7100000000000009</v>
      </c>
      <c r="C1885" s="87">
        <f t="shared" si="58"/>
        <v>-7.6237898411546823E-2</v>
      </c>
      <c r="D1885" s="106">
        <v>52443.1</v>
      </c>
      <c r="E1885" s="87">
        <f t="shared" si="59"/>
        <v>1.0211543271790191E-2</v>
      </c>
    </row>
    <row r="1886" spans="1:5" x14ac:dyDescent="0.2">
      <c r="A1886" s="105" t="s">
        <v>2377</v>
      </c>
      <c r="B1886" s="106">
        <v>8.7100000000000009</v>
      </c>
      <c r="C1886" s="87">
        <f t="shared" si="58"/>
        <v>0</v>
      </c>
      <c r="D1886" s="106">
        <v>51910.34</v>
      </c>
      <c r="E1886" s="87">
        <f t="shared" si="59"/>
        <v>-1.0210772712103022E-2</v>
      </c>
    </row>
    <row r="1887" spans="1:5" x14ac:dyDescent="0.2">
      <c r="A1887" s="105" t="s">
        <v>2378</v>
      </c>
      <c r="B1887" s="106">
        <v>8.6999999999999993</v>
      </c>
      <c r="C1887" s="87">
        <f t="shared" si="58"/>
        <v>-1.1487652038737473E-3</v>
      </c>
      <c r="D1887" s="106">
        <v>52065.88</v>
      </c>
      <c r="E1887" s="87">
        <f t="shared" si="59"/>
        <v>2.9918401730952837E-3</v>
      </c>
    </row>
    <row r="1888" spans="1:5" x14ac:dyDescent="0.2">
      <c r="A1888" s="105" t="s">
        <v>2379</v>
      </c>
      <c r="B1888" s="106">
        <v>9.35</v>
      </c>
      <c r="C1888" s="87">
        <f t="shared" si="58"/>
        <v>7.2053317640057735E-2</v>
      </c>
      <c r="D1888" s="106">
        <v>52391</v>
      </c>
      <c r="E1888" s="87">
        <f t="shared" si="59"/>
        <v>6.2249810615924162E-3</v>
      </c>
    </row>
    <row r="1889" spans="1:5" x14ac:dyDescent="0.2">
      <c r="A1889" s="105" t="s">
        <v>2380</v>
      </c>
      <c r="B1889" s="106">
        <v>9</v>
      </c>
      <c r="C1889" s="87">
        <f t="shared" si="58"/>
        <v>-3.8151765964375972E-2</v>
      </c>
      <c r="D1889" s="106">
        <v>51350.42</v>
      </c>
      <c r="E1889" s="87">
        <f t="shared" si="59"/>
        <v>-2.0061705346375192E-2</v>
      </c>
    </row>
    <row r="1890" spans="1:5" x14ac:dyDescent="0.2">
      <c r="A1890" s="105" t="s">
        <v>2381</v>
      </c>
      <c r="B1890" s="106">
        <v>9.4499999999999993</v>
      </c>
      <c r="C1890" s="87">
        <f t="shared" si="58"/>
        <v>4.8790164169431716E-2</v>
      </c>
      <c r="D1890" s="106">
        <v>50516.71</v>
      </c>
      <c r="E1890" s="87">
        <f t="shared" si="59"/>
        <v>-1.6368942865687686E-2</v>
      </c>
    </row>
    <row r="1891" spans="1:5" x14ac:dyDescent="0.2">
      <c r="A1891" s="105" t="s">
        <v>2382</v>
      </c>
      <c r="B1891" s="106">
        <v>9.5</v>
      </c>
      <c r="C1891" s="87">
        <f t="shared" si="58"/>
        <v>5.2770571008440292E-3</v>
      </c>
      <c r="D1891" s="106">
        <v>51416.08</v>
      </c>
      <c r="E1891" s="87">
        <f t="shared" si="59"/>
        <v>1.7646791365631742E-2</v>
      </c>
    </row>
    <row r="1892" spans="1:5" x14ac:dyDescent="0.2">
      <c r="A1892" s="105" t="s">
        <v>2383</v>
      </c>
      <c r="B1892" s="106">
        <v>9.5</v>
      </c>
      <c r="C1892" s="87">
        <f t="shared" si="58"/>
        <v>0</v>
      </c>
      <c r="D1892" s="106">
        <v>51159.06</v>
      </c>
      <c r="E1892" s="87">
        <f t="shared" si="59"/>
        <v>-5.0113611913040756E-3</v>
      </c>
    </row>
    <row r="1893" spans="1:5" x14ac:dyDescent="0.2">
      <c r="A1893" s="105" t="s">
        <v>2384</v>
      </c>
      <c r="B1893" s="106">
        <v>9.6</v>
      </c>
      <c r="C1893" s="87">
        <f t="shared" si="58"/>
        <v>1.0471299867295336E-2</v>
      </c>
      <c r="D1893" s="106">
        <v>51511.68</v>
      </c>
      <c r="E1893" s="87">
        <f t="shared" si="59"/>
        <v>6.8689752594774944E-3</v>
      </c>
    </row>
    <row r="1894" spans="1:5" x14ac:dyDescent="0.2">
      <c r="A1894" s="105" t="s">
        <v>2385</v>
      </c>
      <c r="B1894" s="106">
        <v>10.5</v>
      </c>
      <c r="C1894" s="87">
        <f t="shared" si="58"/>
        <v>8.9612158689686972E-2</v>
      </c>
      <c r="D1894" s="106">
        <v>51487.54</v>
      </c>
      <c r="E1894" s="87">
        <f t="shared" si="59"/>
        <v>-4.6874142235253657E-4</v>
      </c>
    </row>
    <row r="1895" spans="1:5" x14ac:dyDescent="0.2">
      <c r="A1895" s="105" t="s">
        <v>2386</v>
      </c>
      <c r="B1895" s="106">
        <v>10.01</v>
      </c>
      <c r="C1895" s="87">
        <f t="shared" si="58"/>
        <v>-4.7790663836348557E-2</v>
      </c>
      <c r="D1895" s="106">
        <v>51297.120000000003</v>
      </c>
      <c r="E1895" s="87">
        <f t="shared" si="59"/>
        <v>-3.7052263995729362E-3</v>
      </c>
    </row>
    <row r="1896" spans="1:5" x14ac:dyDescent="0.2">
      <c r="A1896" s="105" t="s">
        <v>2387</v>
      </c>
      <c r="B1896" s="106">
        <v>10.5</v>
      </c>
      <c r="C1896" s="87">
        <f t="shared" si="58"/>
        <v>4.7790663836348557E-2</v>
      </c>
      <c r="D1896" s="106">
        <v>51739.040000000001</v>
      </c>
      <c r="E1896" s="87">
        <f t="shared" si="59"/>
        <v>8.5780120258185377E-3</v>
      </c>
    </row>
    <row r="1897" spans="1:5" x14ac:dyDescent="0.2">
      <c r="A1897" s="105" t="s">
        <v>2388</v>
      </c>
      <c r="B1897" s="106">
        <v>11.67</v>
      </c>
      <c r="C1897" s="87">
        <f t="shared" si="58"/>
        <v>0.10564618913498691</v>
      </c>
      <c r="D1897" s="106">
        <v>50932.480000000003</v>
      </c>
      <c r="E1897" s="87">
        <f t="shared" si="59"/>
        <v>-1.5711788278476746E-2</v>
      </c>
    </row>
    <row r="1898" spans="1:5" x14ac:dyDescent="0.2">
      <c r="A1898" s="105" t="s">
        <v>2389</v>
      </c>
      <c r="B1898" s="106">
        <v>11.02</v>
      </c>
      <c r="C1898" s="87">
        <f t="shared" si="58"/>
        <v>-5.7309642573696085E-2</v>
      </c>
      <c r="D1898" s="106">
        <v>50683.91</v>
      </c>
      <c r="E1898" s="87">
        <f t="shared" si="59"/>
        <v>-4.8923307704864527E-3</v>
      </c>
    </row>
    <row r="1899" spans="1:5" x14ac:dyDescent="0.2">
      <c r="A1899" s="105" t="s">
        <v>2390</v>
      </c>
      <c r="B1899" s="106">
        <v>12.22</v>
      </c>
      <c r="C1899" s="87">
        <f t="shared" si="58"/>
        <v>0.10336215001868077</v>
      </c>
      <c r="D1899" s="106">
        <v>51621.14</v>
      </c>
      <c r="E1899" s="87">
        <f t="shared" si="59"/>
        <v>1.8322775283222015E-2</v>
      </c>
    </row>
    <row r="1900" spans="1:5" x14ac:dyDescent="0.2">
      <c r="A1900" s="105" t="s">
        <v>2391</v>
      </c>
      <c r="B1900" s="106">
        <v>11.69</v>
      </c>
      <c r="C1900" s="87">
        <f t="shared" si="58"/>
        <v>-4.4340178259472118E-2</v>
      </c>
      <c r="D1900" s="106">
        <v>52265.24</v>
      </c>
      <c r="E1900" s="87">
        <f t="shared" si="59"/>
        <v>1.2400244447293929E-2</v>
      </c>
    </row>
    <row r="1901" spans="1:5" x14ac:dyDescent="0.2">
      <c r="A1901" s="105" t="s">
        <v>2392</v>
      </c>
      <c r="B1901" s="106">
        <v>12</v>
      </c>
      <c r="C1901" s="87">
        <f t="shared" si="58"/>
        <v>2.6172874304023264E-2</v>
      </c>
      <c r="D1901" s="106">
        <v>52550.03</v>
      </c>
      <c r="E1901" s="87">
        <f t="shared" si="59"/>
        <v>5.4341452503781085E-3</v>
      </c>
    </row>
    <row r="1902" spans="1:5" x14ac:dyDescent="0.2">
      <c r="A1902" s="105" t="s">
        <v>2393</v>
      </c>
      <c r="B1902" s="106">
        <v>12.15</v>
      </c>
      <c r="C1902" s="87">
        <f t="shared" si="58"/>
        <v>1.2422519998557036E-2</v>
      </c>
      <c r="D1902" s="106">
        <v>52477.440000000002</v>
      </c>
      <c r="E1902" s="87">
        <f t="shared" si="59"/>
        <v>-1.3823052494466026E-3</v>
      </c>
    </row>
    <row r="1903" spans="1:5" x14ac:dyDescent="0.2">
      <c r="A1903" s="105" t="s">
        <v>2394</v>
      </c>
      <c r="B1903" s="106">
        <v>12.8</v>
      </c>
      <c r="C1903" s="87">
        <f t="shared" si="58"/>
        <v>5.2116001139014045E-2</v>
      </c>
      <c r="D1903" s="106">
        <v>52961.35</v>
      </c>
      <c r="E1903" s="87">
        <f t="shared" si="59"/>
        <v>9.1790392821984312E-3</v>
      </c>
    </row>
    <row r="1904" spans="1:5" x14ac:dyDescent="0.2">
      <c r="A1904" s="105" t="s">
        <v>2395</v>
      </c>
      <c r="B1904" s="106">
        <v>14</v>
      </c>
      <c r="C1904" s="87">
        <f t="shared" si="58"/>
        <v>8.9612158689686972E-2</v>
      </c>
      <c r="D1904" s="106">
        <v>53479.49</v>
      </c>
      <c r="E1904" s="87">
        <f t="shared" si="59"/>
        <v>9.7358136726093392E-3</v>
      </c>
    </row>
    <row r="1905" spans="1:5" x14ac:dyDescent="0.2">
      <c r="A1905" s="105" t="s">
        <v>2396</v>
      </c>
      <c r="B1905" s="106">
        <v>12.9</v>
      </c>
      <c r="C1905" s="87">
        <f t="shared" si="58"/>
        <v>-8.1830018247631919E-2</v>
      </c>
      <c r="D1905" s="106">
        <v>53652.58</v>
      </c>
      <c r="E1905" s="87">
        <f t="shared" si="59"/>
        <v>3.2313414761961923E-3</v>
      </c>
    </row>
    <row r="1906" spans="1:5" x14ac:dyDescent="0.2">
      <c r="A1906" s="105" t="s">
        <v>2397</v>
      </c>
      <c r="B1906" s="106">
        <v>13.22</v>
      </c>
      <c r="C1906" s="87">
        <f t="shared" si="58"/>
        <v>2.4503523055913856E-2</v>
      </c>
      <c r="D1906" s="106">
        <v>53346.86</v>
      </c>
      <c r="E1906" s="87">
        <f t="shared" si="59"/>
        <v>-5.7144379808917733E-3</v>
      </c>
    </row>
    <row r="1907" spans="1:5" x14ac:dyDescent="0.2">
      <c r="A1907" s="105" t="s">
        <v>2398</v>
      </c>
      <c r="B1907" s="106">
        <v>13.99</v>
      </c>
      <c r="C1907" s="87">
        <f t="shared" si="58"/>
        <v>5.6611954253849461E-2</v>
      </c>
      <c r="D1907" s="106">
        <v>53801.73</v>
      </c>
      <c r="E1907" s="87">
        <f t="shared" si="59"/>
        <v>8.4905033762368021E-3</v>
      </c>
    </row>
    <row r="1908" spans="1:5" x14ac:dyDescent="0.2">
      <c r="A1908" s="105" t="s">
        <v>2399</v>
      </c>
      <c r="B1908" s="106">
        <v>13.99</v>
      </c>
      <c r="C1908" s="87">
        <f t="shared" si="58"/>
        <v>0</v>
      </c>
      <c r="D1908" s="106">
        <v>53773.45</v>
      </c>
      <c r="E1908" s="87">
        <f t="shared" si="59"/>
        <v>-5.2577184907320884E-4</v>
      </c>
    </row>
    <row r="1909" spans="1:5" x14ac:dyDescent="0.2">
      <c r="A1909" s="105" t="s">
        <v>503</v>
      </c>
      <c r="B1909" s="106">
        <v>12.85</v>
      </c>
      <c r="C1909" s="87">
        <f t="shared" si="58"/>
        <v>-8.4998977336161019E-2</v>
      </c>
      <c r="D1909" s="106">
        <v>53155.31</v>
      </c>
      <c r="E1909" s="87">
        <f t="shared" si="59"/>
        <v>-1.1561845211183197E-2</v>
      </c>
    </row>
    <row r="1910" spans="1:5" x14ac:dyDescent="0.2">
      <c r="A1910" s="105" t="s">
        <v>2400</v>
      </c>
      <c r="B1910" s="106">
        <v>12.25</v>
      </c>
      <c r="C1910" s="87">
        <f t="shared" si="58"/>
        <v>-4.7817874350492673E-2</v>
      </c>
      <c r="D1910" s="106">
        <v>53415.63</v>
      </c>
      <c r="E1910" s="87">
        <f t="shared" si="59"/>
        <v>4.8853940437467713E-3</v>
      </c>
    </row>
    <row r="1911" spans="1:5" x14ac:dyDescent="0.2">
      <c r="A1911" s="105" t="s">
        <v>2401</v>
      </c>
      <c r="B1911" s="106">
        <v>12.24</v>
      </c>
      <c r="C1911" s="87">
        <f t="shared" si="58"/>
        <v>-8.166599065559943E-4</v>
      </c>
      <c r="D1911" s="106">
        <v>53238</v>
      </c>
      <c r="E1911" s="87">
        <f t="shared" si="59"/>
        <v>-3.330972686805822E-3</v>
      </c>
    </row>
    <row r="1912" spans="1:5" x14ac:dyDescent="0.2">
      <c r="A1912" s="105" t="s">
        <v>2402</v>
      </c>
      <c r="B1912" s="106">
        <v>12.23</v>
      </c>
      <c r="C1912" s="87">
        <f t="shared" si="58"/>
        <v>-8.1732738509909808E-4</v>
      </c>
      <c r="D1912" s="106">
        <v>53055.98</v>
      </c>
      <c r="E1912" s="87">
        <f t="shared" si="59"/>
        <v>-3.4248445286895191E-3</v>
      </c>
    </row>
    <row r="1913" spans="1:5" x14ac:dyDescent="0.2">
      <c r="A1913" s="105" t="s">
        <v>2403</v>
      </c>
      <c r="B1913" s="106">
        <v>12.25</v>
      </c>
      <c r="C1913" s="87">
        <f t="shared" si="58"/>
        <v>1.6339872916550924E-3</v>
      </c>
      <c r="D1913" s="106">
        <v>53084.63</v>
      </c>
      <c r="E1913" s="87">
        <f t="shared" si="59"/>
        <v>5.3984993483346955E-4</v>
      </c>
    </row>
    <row r="1914" spans="1:5" x14ac:dyDescent="0.2">
      <c r="A1914" s="105" t="s">
        <v>2404</v>
      </c>
      <c r="B1914" s="106">
        <v>12.41</v>
      </c>
      <c r="C1914" s="87">
        <f t="shared" si="58"/>
        <v>1.2976662225779645E-2</v>
      </c>
      <c r="D1914" s="106">
        <v>53215.87</v>
      </c>
      <c r="E1914" s="87">
        <f t="shared" si="59"/>
        <v>2.4692276458111451E-3</v>
      </c>
    </row>
    <row r="1915" spans="1:5" x14ac:dyDescent="0.2">
      <c r="A1915" s="105" t="s">
        <v>2405</v>
      </c>
      <c r="B1915" s="106">
        <v>12.9</v>
      </c>
      <c r="C1915" s="87">
        <f t="shared" si="58"/>
        <v>3.872471215111073E-2</v>
      </c>
      <c r="D1915" s="106">
        <v>52848.54</v>
      </c>
      <c r="E1915" s="87">
        <f t="shared" si="59"/>
        <v>-6.9265735533292627E-3</v>
      </c>
    </row>
    <row r="1916" spans="1:5" x14ac:dyDescent="0.2">
      <c r="A1916" s="105" t="s">
        <v>2406</v>
      </c>
      <c r="B1916" s="106">
        <v>12.9</v>
      </c>
      <c r="C1916" s="87">
        <f t="shared" si="58"/>
        <v>0</v>
      </c>
      <c r="D1916" s="106">
        <v>53299.4</v>
      </c>
      <c r="E1916" s="87">
        <f t="shared" si="59"/>
        <v>8.4949874929094449E-3</v>
      </c>
    </row>
    <row r="1917" spans="1:5" x14ac:dyDescent="0.2">
      <c r="A1917" s="105" t="s">
        <v>2407</v>
      </c>
      <c r="B1917" s="106">
        <v>12</v>
      </c>
      <c r="C1917" s="87">
        <f t="shared" si="58"/>
        <v>-7.2320661579626133E-2</v>
      </c>
      <c r="D1917" s="106">
        <v>53368.22</v>
      </c>
      <c r="E1917" s="87">
        <f t="shared" si="59"/>
        <v>1.2903636464187684E-3</v>
      </c>
    </row>
    <row r="1918" spans="1:5" x14ac:dyDescent="0.2">
      <c r="A1918" s="105" t="s">
        <v>2408</v>
      </c>
      <c r="B1918" s="106">
        <v>13</v>
      </c>
      <c r="C1918" s="87">
        <f t="shared" si="58"/>
        <v>8.0042707673536384E-2</v>
      </c>
      <c r="D1918" s="106">
        <v>53099.11</v>
      </c>
      <c r="E1918" s="87">
        <f t="shared" si="59"/>
        <v>-5.0552704404047688E-3</v>
      </c>
    </row>
    <row r="1919" spans="1:5" x14ac:dyDescent="0.2">
      <c r="A1919" s="105" t="s">
        <v>2409</v>
      </c>
      <c r="B1919" s="106">
        <v>13.99</v>
      </c>
      <c r="C1919" s="87">
        <f t="shared" si="58"/>
        <v>7.3393431215853067E-2</v>
      </c>
      <c r="D1919" s="106">
        <v>52816.35</v>
      </c>
      <c r="E1919" s="87">
        <f t="shared" si="59"/>
        <v>-5.3393654101601129E-3</v>
      </c>
    </row>
    <row r="1920" spans="1:5" x14ac:dyDescent="0.2">
      <c r="A1920" s="105" t="s">
        <v>2410</v>
      </c>
      <c r="B1920" s="106">
        <v>14.73</v>
      </c>
      <c r="C1920" s="87">
        <f t="shared" si="58"/>
        <v>5.1543441797149203E-2</v>
      </c>
      <c r="D1920" s="106">
        <v>53015.55</v>
      </c>
      <c r="E1920" s="87">
        <f t="shared" si="59"/>
        <v>3.7644648776371525E-3</v>
      </c>
    </row>
    <row r="1921" spans="1:10" x14ac:dyDescent="0.2">
      <c r="A1921" s="105" t="s">
        <v>2411</v>
      </c>
      <c r="B1921" s="106">
        <v>14.9</v>
      </c>
      <c r="C1921" s="87">
        <f t="shared" si="58"/>
        <v>1.1474982476874285E-2</v>
      </c>
      <c r="D1921" s="106">
        <v>53106.5</v>
      </c>
      <c r="E1921" s="87">
        <f t="shared" si="59"/>
        <v>1.7140645561912748E-3</v>
      </c>
    </row>
    <row r="1922" spans="1:10" x14ac:dyDescent="0.2">
      <c r="J1922" s="100"/>
    </row>
    <row r="1923" spans="1:10" x14ac:dyDescent="0.2">
      <c r="J1923" s="100"/>
    </row>
    <row r="1924" spans="1:10" x14ac:dyDescent="0.2">
      <c r="D1924" s="101"/>
    </row>
    <row r="1925" spans="1:10" x14ac:dyDescent="0.2">
      <c r="D1925" s="101"/>
    </row>
    <row r="1926" spans="1:10" x14ac:dyDescent="0.2">
      <c r="D1926" s="101"/>
    </row>
    <row r="1927" spans="1:10" x14ac:dyDescent="0.2">
      <c r="D1927" s="101"/>
    </row>
    <row r="1928" spans="1:10" x14ac:dyDescent="0.2">
      <c r="D1928" s="101"/>
    </row>
    <row r="1929" spans="1:10" x14ac:dyDescent="0.2">
      <c r="D1929" s="101"/>
    </row>
    <row r="1930" spans="1:10" x14ac:dyDescent="0.2">
      <c r="D1930" s="101"/>
    </row>
    <row r="1931" spans="1:10" x14ac:dyDescent="0.2">
      <c r="D1931" s="101"/>
    </row>
    <row r="1932" spans="1:10" x14ac:dyDescent="0.2">
      <c r="D1932" s="101"/>
    </row>
    <row r="1933" spans="1:10" x14ac:dyDescent="0.2">
      <c r="D1933" s="101"/>
    </row>
    <row r="1934" spans="1:10" x14ac:dyDescent="0.2">
      <c r="D1934" s="101"/>
    </row>
    <row r="1935" spans="1:10" x14ac:dyDescent="0.2">
      <c r="D1935" s="101"/>
    </row>
    <row r="1936" spans="1:10" x14ac:dyDescent="0.2">
      <c r="D1936" s="101"/>
    </row>
    <row r="1937" spans="4:4" x14ac:dyDescent="0.2">
      <c r="D1937" s="101"/>
    </row>
    <row r="1938" spans="4:4" x14ac:dyDescent="0.2">
      <c r="D1938" s="101"/>
    </row>
    <row r="1939" spans="4:4" x14ac:dyDescent="0.2">
      <c r="D1939" s="101"/>
    </row>
    <row r="1940" spans="4:4" x14ac:dyDescent="0.2">
      <c r="D1940" s="101"/>
    </row>
    <row r="1941" spans="4:4" x14ac:dyDescent="0.2">
      <c r="D1941" s="101"/>
    </row>
    <row r="1942" spans="4:4" x14ac:dyDescent="0.2">
      <c r="D1942" s="101"/>
    </row>
    <row r="1943" spans="4:4" x14ac:dyDescent="0.2">
      <c r="D1943" s="101"/>
    </row>
    <row r="1944" spans="4:4" x14ac:dyDescent="0.2">
      <c r="D1944" s="101"/>
    </row>
    <row r="1945" spans="4:4" x14ac:dyDescent="0.2">
      <c r="D1945" s="101"/>
    </row>
    <row r="1946" spans="4:4" x14ac:dyDescent="0.2">
      <c r="D1946" s="101"/>
    </row>
    <row r="1947" spans="4:4" x14ac:dyDescent="0.2">
      <c r="D1947" s="101"/>
    </row>
    <row r="1948" spans="4:4" x14ac:dyDescent="0.2">
      <c r="D1948" s="101"/>
    </row>
    <row r="1949" spans="4:4" x14ac:dyDescent="0.2">
      <c r="D1949" s="101"/>
    </row>
    <row r="1950" spans="4:4" x14ac:dyDescent="0.2">
      <c r="D1950" s="101"/>
    </row>
    <row r="1951" spans="4:4" x14ac:dyDescent="0.2">
      <c r="D1951" s="101"/>
    </row>
    <row r="1952" spans="4:4" x14ac:dyDescent="0.2">
      <c r="D1952" s="101"/>
    </row>
    <row r="1953" spans="4:4" x14ac:dyDescent="0.2">
      <c r="D1953" s="101"/>
    </row>
    <row r="1954" spans="4:4" x14ac:dyDescent="0.2">
      <c r="D1954" s="101"/>
    </row>
    <row r="1955" spans="4:4" x14ac:dyDescent="0.2">
      <c r="D1955" s="101"/>
    </row>
    <row r="1956" spans="4:4" x14ac:dyDescent="0.2">
      <c r="D1956" s="101"/>
    </row>
    <row r="1957" spans="4:4" x14ac:dyDescent="0.2">
      <c r="D1957" s="101"/>
    </row>
    <row r="1958" spans="4:4" x14ac:dyDescent="0.2">
      <c r="D1958" s="101"/>
    </row>
    <row r="1959" spans="4:4" x14ac:dyDescent="0.2">
      <c r="D1959" s="101"/>
    </row>
    <row r="1960" spans="4:4" x14ac:dyDescent="0.2">
      <c r="D1960" s="101"/>
    </row>
    <row r="1961" spans="4:4" x14ac:dyDescent="0.2">
      <c r="D1961" s="101"/>
    </row>
    <row r="1962" spans="4:4" x14ac:dyDescent="0.2">
      <c r="D1962" s="101"/>
    </row>
    <row r="1963" spans="4:4" x14ac:dyDescent="0.2">
      <c r="D1963" s="101"/>
    </row>
    <row r="1964" spans="4:4" x14ac:dyDescent="0.2">
      <c r="D1964" s="101"/>
    </row>
    <row r="1965" spans="4:4" x14ac:dyDescent="0.2">
      <c r="D1965" s="101"/>
    </row>
    <row r="1966" spans="4:4" x14ac:dyDescent="0.2">
      <c r="D1966" s="101"/>
    </row>
    <row r="1967" spans="4:4" x14ac:dyDescent="0.2">
      <c r="D1967" s="101"/>
    </row>
    <row r="1968" spans="4:4" x14ac:dyDescent="0.2">
      <c r="D1968" s="101"/>
    </row>
    <row r="1969" spans="4:4" x14ac:dyDescent="0.2">
      <c r="D1969" s="101"/>
    </row>
    <row r="1970" spans="4:4" x14ac:dyDescent="0.2">
      <c r="D1970" s="101"/>
    </row>
    <row r="1971" spans="4:4" x14ac:dyDescent="0.2">
      <c r="D1971" s="101"/>
    </row>
    <row r="1972" spans="4:4" x14ac:dyDescent="0.2">
      <c r="D1972" s="101"/>
    </row>
    <row r="1973" spans="4:4" x14ac:dyDescent="0.2">
      <c r="D1973" s="101"/>
    </row>
    <row r="1974" spans="4:4" x14ac:dyDescent="0.2">
      <c r="D1974" s="101"/>
    </row>
    <row r="1975" spans="4:4" x14ac:dyDescent="0.2">
      <c r="D1975" s="101"/>
    </row>
    <row r="1976" spans="4:4" x14ac:dyDescent="0.2">
      <c r="D1976" s="101"/>
    </row>
    <row r="1977" spans="4:4" x14ac:dyDescent="0.2">
      <c r="D1977" s="101"/>
    </row>
    <row r="1978" spans="4:4" x14ac:dyDescent="0.2">
      <c r="D1978" s="101"/>
    </row>
    <row r="1979" spans="4:4" x14ac:dyDescent="0.2">
      <c r="D1979" s="101"/>
    </row>
    <row r="1980" spans="4:4" x14ac:dyDescent="0.2">
      <c r="D1980" s="101"/>
    </row>
    <row r="1981" spans="4:4" x14ac:dyDescent="0.2">
      <c r="D1981" s="101"/>
    </row>
    <row r="1982" spans="4:4" x14ac:dyDescent="0.2">
      <c r="D1982" s="101"/>
    </row>
    <row r="1983" spans="4:4" x14ac:dyDescent="0.2">
      <c r="D1983" s="101"/>
    </row>
    <row r="1984" spans="4:4" x14ac:dyDescent="0.2">
      <c r="D1984" s="101"/>
    </row>
    <row r="1985" spans="4:4" x14ac:dyDescent="0.2">
      <c r="D1985" s="101"/>
    </row>
    <row r="1986" spans="4:4" x14ac:dyDescent="0.2">
      <c r="D1986" s="101"/>
    </row>
    <row r="1987" spans="4:4" x14ac:dyDescent="0.2">
      <c r="D1987" s="101"/>
    </row>
    <row r="1988" spans="4:4" x14ac:dyDescent="0.2">
      <c r="D1988" s="101"/>
    </row>
    <row r="1989" spans="4:4" x14ac:dyDescent="0.2">
      <c r="D1989" s="101"/>
    </row>
    <row r="1990" spans="4:4" x14ac:dyDescent="0.2">
      <c r="D1990" s="101"/>
    </row>
    <row r="1991" spans="4:4" x14ac:dyDescent="0.2">
      <c r="D1991" s="101"/>
    </row>
    <row r="1992" spans="4:4" x14ac:dyDescent="0.2">
      <c r="D1992" s="101"/>
    </row>
    <row r="1993" spans="4:4" x14ac:dyDescent="0.2">
      <c r="D1993" s="101"/>
    </row>
    <row r="1994" spans="4:4" x14ac:dyDescent="0.2">
      <c r="D1994" s="101"/>
    </row>
    <row r="1995" spans="4:4" x14ac:dyDescent="0.2">
      <c r="D1995" s="101"/>
    </row>
    <row r="1996" spans="4:4" x14ac:dyDescent="0.2">
      <c r="D1996" s="101"/>
    </row>
    <row r="1997" spans="4:4" x14ac:dyDescent="0.2">
      <c r="D1997" s="101"/>
    </row>
    <row r="1998" spans="4:4" x14ac:dyDescent="0.2">
      <c r="D1998" s="101"/>
    </row>
    <row r="1999" spans="4:4" x14ac:dyDescent="0.2">
      <c r="D1999" s="101"/>
    </row>
    <row r="2000" spans="4:4" x14ac:dyDescent="0.2">
      <c r="D2000" s="101"/>
    </row>
    <row r="2001" spans="4:4" x14ac:dyDescent="0.2">
      <c r="D2001" s="101"/>
    </row>
    <row r="2002" spans="4:4" x14ac:dyDescent="0.2">
      <c r="D2002" s="101"/>
    </row>
    <row r="2003" spans="4:4" x14ac:dyDescent="0.2">
      <c r="D2003" s="101"/>
    </row>
    <row r="2004" spans="4:4" x14ac:dyDescent="0.2">
      <c r="D2004" s="101"/>
    </row>
    <row r="2005" spans="4:4" x14ac:dyDescent="0.2">
      <c r="D2005" s="101"/>
    </row>
    <row r="2006" spans="4:4" x14ac:dyDescent="0.2">
      <c r="D2006" s="101"/>
    </row>
    <row r="2007" spans="4:4" x14ac:dyDescent="0.2">
      <c r="D2007" s="101"/>
    </row>
    <row r="2008" spans="4:4" x14ac:dyDescent="0.2">
      <c r="D2008" s="101"/>
    </row>
    <row r="2009" spans="4:4" x14ac:dyDescent="0.2">
      <c r="D2009" s="101"/>
    </row>
    <row r="2010" spans="4:4" x14ac:dyDescent="0.2">
      <c r="D2010" s="101"/>
    </row>
    <row r="2011" spans="4:4" x14ac:dyDescent="0.2">
      <c r="D2011" s="101"/>
    </row>
    <row r="2012" spans="4:4" x14ac:dyDescent="0.2">
      <c r="D2012" s="101"/>
    </row>
    <row r="2013" spans="4:4" x14ac:dyDescent="0.2">
      <c r="D2013" s="101"/>
    </row>
    <row r="2014" spans="4:4" x14ac:dyDescent="0.2">
      <c r="D2014" s="101"/>
    </row>
    <row r="2015" spans="4:4" x14ac:dyDescent="0.2">
      <c r="D2015" s="101"/>
    </row>
    <row r="2016" spans="4:4" x14ac:dyDescent="0.2">
      <c r="D2016" s="101"/>
    </row>
    <row r="2017" spans="4:4" x14ac:dyDescent="0.2">
      <c r="D2017" s="101"/>
    </row>
    <row r="2018" spans="4:4" x14ac:dyDescent="0.2">
      <c r="D2018" s="101"/>
    </row>
    <row r="2019" spans="4:4" x14ac:dyDescent="0.2">
      <c r="D2019" s="101"/>
    </row>
    <row r="2020" spans="4:4" x14ac:dyDescent="0.2">
      <c r="D2020" s="101"/>
    </row>
    <row r="2021" spans="4:4" x14ac:dyDescent="0.2">
      <c r="D2021" s="101"/>
    </row>
    <row r="2022" spans="4:4" x14ac:dyDescent="0.2">
      <c r="D2022" s="101"/>
    </row>
    <row r="2023" spans="4:4" x14ac:dyDescent="0.2">
      <c r="D2023" s="101"/>
    </row>
    <row r="2024" spans="4:4" x14ac:dyDescent="0.2">
      <c r="D2024" s="101"/>
    </row>
    <row r="2025" spans="4:4" x14ac:dyDescent="0.2">
      <c r="D2025" s="101"/>
    </row>
    <row r="2026" spans="4:4" x14ac:dyDescent="0.2">
      <c r="D2026" s="101"/>
    </row>
    <row r="2027" spans="4:4" x14ac:dyDescent="0.2">
      <c r="D2027" s="101"/>
    </row>
    <row r="2028" spans="4:4" x14ac:dyDescent="0.2">
      <c r="D2028" s="101"/>
    </row>
    <row r="2029" spans="4:4" x14ac:dyDescent="0.2">
      <c r="D2029" s="101"/>
    </row>
    <row r="2030" spans="4:4" x14ac:dyDescent="0.2">
      <c r="D2030" s="101"/>
    </row>
    <row r="2031" spans="4:4" x14ac:dyDescent="0.2">
      <c r="D2031" s="101"/>
    </row>
    <row r="2032" spans="4:4" x14ac:dyDescent="0.2">
      <c r="D2032" s="101"/>
    </row>
    <row r="2033" spans="4:4" x14ac:dyDescent="0.2">
      <c r="D2033" s="101"/>
    </row>
    <row r="2034" spans="4:4" x14ac:dyDescent="0.2">
      <c r="D2034" s="101"/>
    </row>
    <row r="2035" spans="4:4" x14ac:dyDescent="0.2">
      <c r="D2035" s="101"/>
    </row>
    <row r="2036" spans="4:4" x14ac:dyDescent="0.2">
      <c r="D2036" s="101"/>
    </row>
    <row r="2037" spans="4:4" x14ac:dyDescent="0.2">
      <c r="D2037" s="101"/>
    </row>
    <row r="2038" spans="4:4" x14ac:dyDescent="0.2">
      <c r="D2038" s="101"/>
    </row>
    <row r="2039" spans="4:4" x14ac:dyDescent="0.2">
      <c r="D2039" s="101"/>
    </row>
    <row r="2040" spans="4:4" x14ac:dyDescent="0.2">
      <c r="D2040" s="101"/>
    </row>
    <row r="2041" spans="4:4" x14ac:dyDescent="0.2">
      <c r="D2041" s="101"/>
    </row>
    <row r="2042" spans="4:4" x14ac:dyDescent="0.2">
      <c r="D2042" s="101"/>
    </row>
    <row r="2043" spans="4:4" x14ac:dyDescent="0.2">
      <c r="D2043" s="101"/>
    </row>
    <row r="2044" spans="4:4" x14ac:dyDescent="0.2">
      <c r="D2044" s="101"/>
    </row>
    <row r="2045" spans="4:4" x14ac:dyDescent="0.2">
      <c r="D2045" s="101"/>
    </row>
    <row r="2046" spans="4:4" x14ac:dyDescent="0.2">
      <c r="D2046" s="101"/>
    </row>
    <row r="2047" spans="4:4" x14ac:dyDescent="0.2">
      <c r="D2047" s="101"/>
    </row>
    <row r="2048" spans="4:4" x14ac:dyDescent="0.2">
      <c r="D2048" s="101"/>
    </row>
    <row r="2049" spans="4:4" x14ac:dyDescent="0.2">
      <c r="D2049" s="101"/>
    </row>
    <row r="2050" spans="4:4" x14ac:dyDescent="0.2">
      <c r="D2050" s="101"/>
    </row>
    <row r="2051" spans="4:4" x14ac:dyDescent="0.2">
      <c r="D2051" s="101"/>
    </row>
    <row r="2052" spans="4:4" x14ac:dyDescent="0.2">
      <c r="D2052" s="101"/>
    </row>
    <row r="2053" spans="4:4" x14ac:dyDescent="0.2">
      <c r="D2053" s="101"/>
    </row>
    <row r="2054" spans="4:4" x14ac:dyDescent="0.2">
      <c r="D2054" s="101"/>
    </row>
    <row r="2055" spans="4:4" x14ac:dyDescent="0.2">
      <c r="D2055" s="101"/>
    </row>
    <row r="2056" spans="4:4" x14ac:dyDescent="0.2">
      <c r="D2056" s="101"/>
    </row>
    <row r="2057" spans="4:4" x14ac:dyDescent="0.2">
      <c r="D2057" s="101"/>
    </row>
    <row r="2058" spans="4:4" x14ac:dyDescent="0.2">
      <c r="D2058" s="101"/>
    </row>
    <row r="2059" spans="4:4" x14ac:dyDescent="0.2">
      <c r="D2059" s="101"/>
    </row>
    <row r="2060" spans="4:4" x14ac:dyDescent="0.2">
      <c r="D2060" s="101"/>
    </row>
    <row r="2061" spans="4:4" x14ac:dyDescent="0.2">
      <c r="D2061" s="101"/>
    </row>
    <row r="2062" spans="4:4" x14ac:dyDescent="0.2">
      <c r="D2062" s="101"/>
    </row>
    <row r="2063" spans="4:4" x14ac:dyDescent="0.2">
      <c r="D2063" s="101"/>
    </row>
    <row r="2064" spans="4:4" x14ac:dyDescent="0.2">
      <c r="D2064" s="101"/>
    </row>
    <row r="2065" spans="4:4" x14ac:dyDescent="0.2">
      <c r="D2065" s="101"/>
    </row>
    <row r="2066" spans="4:4" x14ac:dyDescent="0.2">
      <c r="D2066" s="101"/>
    </row>
    <row r="2067" spans="4:4" x14ac:dyDescent="0.2">
      <c r="D2067" s="101"/>
    </row>
    <row r="2068" spans="4:4" x14ac:dyDescent="0.2">
      <c r="D2068" s="101"/>
    </row>
    <row r="2069" spans="4:4" x14ac:dyDescent="0.2">
      <c r="D2069" s="101"/>
    </row>
    <row r="2070" spans="4:4" x14ac:dyDescent="0.2">
      <c r="D2070" s="101"/>
    </row>
    <row r="2071" spans="4:4" x14ac:dyDescent="0.2">
      <c r="D2071" s="101"/>
    </row>
    <row r="2072" spans="4:4" x14ac:dyDescent="0.2">
      <c r="D2072" s="101"/>
    </row>
    <row r="2073" spans="4:4" x14ac:dyDescent="0.2">
      <c r="D2073" s="101"/>
    </row>
    <row r="2074" spans="4:4" x14ac:dyDescent="0.2">
      <c r="D2074" s="101"/>
    </row>
    <row r="2075" spans="4:4" x14ac:dyDescent="0.2">
      <c r="D2075" s="101"/>
    </row>
    <row r="2076" spans="4:4" x14ac:dyDescent="0.2">
      <c r="D2076" s="101"/>
    </row>
    <row r="2077" spans="4:4" x14ac:dyDescent="0.2">
      <c r="D2077" s="101"/>
    </row>
    <row r="2078" spans="4:4" x14ac:dyDescent="0.2">
      <c r="D2078" s="101"/>
    </row>
    <row r="2079" spans="4:4" x14ac:dyDescent="0.2">
      <c r="D2079" s="101"/>
    </row>
    <row r="2080" spans="4:4" x14ac:dyDescent="0.2">
      <c r="D2080" s="101"/>
    </row>
    <row r="2081" spans="4:4" x14ac:dyDescent="0.2">
      <c r="D2081" s="101"/>
    </row>
    <row r="2082" spans="4:4" x14ac:dyDescent="0.2">
      <c r="D2082" s="101"/>
    </row>
    <row r="2083" spans="4:4" x14ac:dyDescent="0.2">
      <c r="D2083" s="101"/>
    </row>
    <row r="2084" spans="4:4" x14ac:dyDescent="0.2">
      <c r="D2084" s="101"/>
    </row>
    <row r="2085" spans="4:4" x14ac:dyDescent="0.2">
      <c r="D2085" s="101"/>
    </row>
    <row r="2086" spans="4:4" x14ac:dyDescent="0.2">
      <c r="D2086" s="101"/>
    </row>
    <row r="2087" spans="4:4" x14ac:dyDescent="0.2">
      <c r="D2087" s="101"/>
    </row>
    <row r="2088" spans="4:4" x14ac:dyDescent="0.2">
      <c r="D2088" s="101"/>
    </row>
    <row r="2089" spans="4:4" x14ac:dyDescent="0.2">
      <c r="D2089" s="101"/>
    </row>
    <row r="2090" spans="4:4" x14ac:dyDescent="0.2">
      <c r="D2090" s="101"/>
    </row>
    <row r="2091" spans="4:4" x14ac:dyDescent="0.2">
      <c r="D2091" s="101"/>
    </row>
    <row r="2092" spans="4:4" x14ac:dyDescent="0.2">
      <c r="D2092" s="101"/>
    </row>
    <row r="2093" spans="4:4" x14ac:dyDescent="0.2">
      <c r="D2093" s="101"/>
    </row>
    <row r="2094" spans="4:4" x14ac:dyDescent="0.2">
      <c r="D2094" s="101"/>
    </row>
    <row r="2095" spans="4:4" x14ac:dyDescent="0.2">
      <c r="D2095" s="101"/>
    </row>
    <row r="2096" spans="4:4" x14ac:dyDescent="0.2">
      <c r="D2096" s="101"/>
    </row>
    <row r="2097" spans="4:4" x14ac:dyDescent="0.2">
      <c r="D2097" s="101"/>
    </row>
    <row r="2098" spans="4:4" x14ac:dyDescent="0.2">
      <c r="D2098" s="101"/>
    </row>
    <row r="2099" spans="4:4" x14ac:dyDescent="0.2">
      <c r="D2099" s="101"/>
    </row>
    <row r="2100" spans="4:4" x14ac:dyDescent="0.2">
      <c r="D2100" s="101"/>
    </row>
    <row r="2101" spans="4:4" x14ac:dyDescent="0.2">
      <c r="D2101" s="101"/>
    </row>
    <row r="2102" spans="4:4" x14ac:dyDescent="0.2">
      <c r="D2102" s="101"/>
    </row>
    <row r="2103" spans="4:4" x14ac:dyDescent="0.2">
      <c r="D2103" s="101"/>
    </row>
    <row r="2104" spans="4:4" x14ac:dyDescent="0.2">
      <c r="D2104" s="101"/>
    </row>
    <row r="2105" spans="4:4" x14ac:dyDescent="0.2">
      <c r="D2105" s="101"/>
    </row>
    <row r="2106" spans="4:4" x14ac:dyDescent="0.2">
      <c r="D2106" s="101"/>
    </row>
    <row r="2107" spans="4:4" x14ac:dyDescent="0.2">
      <c r="D2107" s="101"/>
    </row>
    <row r="2108" spans="4:4" x14ac:dyDescent="0.2">
      <c r="D2108" s="101"/>
    </row>
    <row r="2109" spans="4:4" x14ac:dyDescent="0.2">
      <c r="D2109" s="101"/>
    </row>
    <row r="2110" spans="4:4" x14ac:dyDescent="0.2">
      <c r="D2110" s="101"/>
    </row>
    <row r="2111" spans="4:4" x14ac:dyDescent="0.2">
      <c r="D2111" s="101"/>
    </row>
    <row r="2112" spans="4:4" x14ac:dyDescent="0.2">
      <c r="D2112" s="101"/>
    </row>
    <row r="2113" spans="4:4" x14ac:dyDescent="0.2">
      <c r="D2113" s="101"/>
    </row>
    <row r="2114" spans="4:4" x14ac:dyDescent="0.2">
      <c r="D2114" s="101"/>
    </row>
    <row r="2115" spans="4:4" x14ac:dyDescent="0.2">
      <c r="D2115" s="101"/>
    </row>
    <row r="2116" spans="4:4" x14ac:dyDescent="0.2">
      <c r="D2116" s="101"/>
    </row>
    <row r="2117" spans="4:4" x14ac:dyDescent="0.2">
      <c r="D2117" s="101"/>
    </row>
    <row r="2118" spans="4:4" x14ac:dyDescent="0.2">
      <c r="D2118" s="101"/>
    </row>
    <row r="2119" spans="4:4" x14ac:dyDescent="0.2">
      <c r="D2119" s="101"/>
    </row>
    <row r="2120" spans="4:4" x14ac:dyDescent="0.2">
      <c r="D2120" s="101"/>
    </row>
    <row r="2121" spans="4:4" x14ac:dyDescent="0.2">
      <c r="D2121" s="101"/>
    </row>
    <row r="2122" spans="4:4" x14ac:dyDescent="0.2">
      <c r="D2122" s="101"/>
    </row>
    <row r="2123" spans="4:4" x14ac:dyDescent="0.2">
      <c r="D2123" s="101"/>
    </row>
    <row r="2124" spans="4:4" x14ac:dyDescent="0.2">
      <c r="D2124" s="101"/>
    </row>
    <row r="2125" spans="4:4" x14ac:dyDescent="0.2">
      <c r="D2125" s="101"/>
    </row>
    <row r="2126" spans="4:4" x14ac:dyDescent="0.2">
      <c r="D2126" s="101"/>
    </row>
    <row r="2127" spans="4:4" x14ac:dyDescent="0.2">
      <c r="D2127" s="101"/>
    </row>
    <row r="2128" spans="4:4" x14ac:dyDescent="0.2">
      <c r="D2128" s="101"/>
    </row>
    <row r="2129" spans="4:4" x14ac:dyDescent="0.2">
      <c r="D2129" s="101"/>
    </row>
    <row r="2130" spans="4:4" x14ac:dyDescent="0.2">
      <c r="D2130" s="101"/>
    </row>
    <row r="2131" spans="4:4" x14ac:dyDescent="0.2">
      <c r="D2131" s="101"/>
    </row>
    <row r="2132" spans="4:4" x14ac:dyDescent="0.2">
      <c r="D2132" s="101"/>
    </row>
    <row r="2133" spans="4:4" x14ac:dyDescent="0.2">
      <c r="D2133" s="101"/>
    </row>
    <row r="2134" spans="4:4" x14ac:dyDescent="0.2">
      <c r="D2134" s="101"/>
    </row>
    <row r="2135" spans="4:4" x14ac:dyDescent="0.2">
      <c r="D2135" s="101"/>
    </row>
    <row r="2136" spans="4:4" x14ac:dyDescent="0.2">
      <c r="D2136" s="101"/>
    </row>
    <row r="2137" spans="4:4" x14ac:dyDescent="0.2">
      <c r="D2137" s="101"/>
    </row>
    <row r="2138" spans="4:4" x14ac:dyDescent="0.2">
      <c r="D2138" s="101"/>
    </row>
    <row r="2139" spans="4:4" x14ac:dyDescent="0.2">
      <c r="D2139" s="101"/>
    </row>
    <row r="2140" spans="4:4" x14ac:dyDescent="0.2">
      <c r="D2140" s="101"/>
    </row>
    <row r="2141" spans="4:4" x14ac:dyDescent="0.2">
      <c r="D2141" s="101"/>
    </row>
    <row r="2142" spans="4:4" x14ac:dyDescent="0.2">
      <c r="D2142" s="101"/>
    </row>
    <row r="2143" spans="4:4" x14ac:dyDescent="0.2">
      <c r="D2143" s="101"/>
    </row>
    <row r="2144" spans="4:4" x14ac:dyDescent="0.2">
      <c r="D2144" s="101"/>
    </row>
    <row r="2145" spans="4:4" x14ac:dyDescent="0.2">
      <c r="D2145" s="101"/>
    </row>
    <row r="2146" spans="4:4" x14ac:dyDescent="0.2">
      <c r="D2146" s="101"/>
    </row>
    <row r="2147" spans="4:4" x14ac:dyDescent="0.2">
      <c r="D2147" s="101"/>
    </row>
    <row r="2148" spans="4:4" x14ac:dyDescent="0.2">
      <c r="D2148" s="101"/>
    </row>
    <row r="2149" spans="4:4" x14ac:dyDescent="0.2">
      <c r="D2149" s="101"/>
    </row>
    <row r="2150" spans="4:4" x14ac:dyDescent="0.2">
      <c r="D2150" s="101"/>
    </row>
    <row r="2151" spans="4:4" x14ac:dyDescent="0.2">
      <c r="D2151" s="101"/>
    </row>
    <row r="2152" spans="4:4" x14ac:dyDescent="0.2">
      <c r="D2152" s="101"/>
    </row>
    <row r="2153" spans="4:4" x14ac:dyDescent="0.2">
      <c r="D2153" s="101"/>
    </row>
    <row r="2154" spans="4:4" x14ac:dyDescent="0.2">
      <c r="D2154" s="101"/>
    </row>
    <row r="2155" spans="4:4" x14ac:dyDescent="0.2">
      <c r="D2155" s="101"/>
    </row>
    <row r="2156" spans="4:4" x14ac:dyDescent="0.2">
      <c r="D2156" s="101"/>
    </row>
    <row r="2157" spans="4:4" x14ac:dyDescent="0.2">
      <c r="D2157" s="101"/>
    </row>
    <row r="2158" spans="4:4" x14ac:dyDescent="0.2">
      <c r="D2158" s="101"/>
    </row>
    <row r="2159" spans="4:4" x14ac:dyDescent="0.2">
      <c r="D2159" s="101"/>
    </row>
    <row r="2160" spans="4:4" x14ac:dyDescent="0.2">
      <c r="D2160" s="101"/>
    </row>
    <row r="2161" spans="4:4" x14ac:dyDescent="0.2">
      <c r="D2161" s="101"/>
    </row>
    <row r="2162" spans="4:4" x14ac:dyDescent="0.2">
      <c r="D2162" s="101"/>
    </row>
    <row r="2163" spans="4:4" x14ac:dyDescent="0.2">
      <c r="D2163" s="101"/>
    </row>
    <row r="2164" spans="4:4" x14ac:dyDescent="0.2">
      <c r="D2164" s="101"/>
    </row>
    <row r="2165" spans="4:4" x14ac:dyDescent="0.2">
      <c r="D2165" s="101"/>
    </row>
    <row r="2166" spans="4:4" x14ac:dyDescent="0.2">
      <c r="D2166" s="101"/>
    </row>
    <row r="2167" spans="4:4" x14ac:dyDescent="0.2">
      <c r="D2167" s="101"/>
    </row>
    <row r="2168" spans="4:4" x14ac:dyDescent="0.2">
      <c r="D2168" s="101"/>
    </row>
    <row r="2169" spans="4:4" x14ac:dyDescent="0.2">
      <c r="D2169" s="101"/>
    </row>
    <row r="2170" spans="4:4" x14ac:dyDescent="0.2">
      <c r="D2170" s="101"/>
    </row>
    <row r="2171" spans="4:4" x14ac:dyDescent="0.2">
      <c r="D2171" s="101"/>
    </row>
    <row r="2172" spans="4:4" x14ac:dyDescent="0.2">
      <c r="D2172" s="101"/>
    </row>
    <row r="2173" spans="4:4" x14ac:dyDescent="0.2">
      <c r="D2173" s="101"/>
    </row>
    <row r="2174" spans="4:4" x14ac:dyDescent="0.2">
      <c r="D2174" s="101"/>
    </row>
    <row r="2175" spans="4:4" x14ac:dyDescent="0.2">
      <c r="D2175" s="101"/>
    </row>
    <row r="2176" spans="4:4" x14ac:dyDescent="0.2">
      <c r="D2176" s="101"/>
    </row>
    <row r="2177" spans="4:4" x14ac:dyDescent="0.2">
      <c r="D2177" s="101"/>
    </row>
    <row r="2178" spans="4:4" x14ac:dyDescent="0.2">
      <c r="D2178" s="101"/>
    </row>
    <row r="2179" spans="4:4" x14ac:dyDescent="0.2">
      <c r="D2179" s="101"/>
    </row>
    <row r="2180" spans="4:4" x14ac:dyDescent="0.2">
      <c r="D2180" s="101"/>
    </row>
    <row r="2181" spans="4:4" x14ac:dyDescent="0.2">
      <c r="D2181" s="101"/>
    </row>
    <row r="2182" spans="4:4" x14ac:dyDescent="0.2">
      <c r="D2182" s="101"/>
    </row>
    <row r="2183" spans="4:4" x14ac:dyDescent="0.2">
      <c r="D2183" s="101"/>
    </row>
    <row r="2184" spans="4:4" x14ac:dyDescent="0.2">
      <c r="D2184" s="101"/>
    </row>
    <row r="2185" spans="4:4" x14ac:dyDescent="0.2">
      <c r="D2185" s="101"/>
    </row>
    <row r="2186" spans="4:4" x14ac:dyDescent="0.2">
      <c r="D2186" s="101"/>
    </row>
    <row r="2187" spans="4:4" x14ac:dyDescent="0.2">
      <c r="D2187" s="101"/>
    </row>
    <row r="2188" spans="4:4" x14ac:dyDescent="0.2">
      <c r="D2188" s="101"/>
    </row>
    <row r="2189" spans="4:4" x14ac:dyDescent="0.2">
      <c r="D2189" s="101"/>
    </row>
    <row r="2190" spans="4:4" x14ac:dyDescent="0.2">
      <c r="D2190" s="101"/>
    </row>
    <row r="2191" spans="4:4" x14ac:dyDescent="0.2">
      <c r="D2191" s="101"/>
    </row>
    <row r="2192" spans="4:4" x14ac:dyDescent="0.2">
      <c r="D2192" s="101"/>
    </row>
    <row r="2193" spans="4:4" x14ac:dyDescent="0.2">
      <c r="D2193" s="101"/>
    </row>
    <row r="2194" spans="4:4" x14ac:dyDescent="0.2">
      <c r="D2194" s="101"/>
    </row>
    <row r="2195" spans="4:4" x14ac:dyDescent="0.2">
      <c r="D2195" s="101"/>
    </row>
    <row r="2196" spans="4:4" x14ac:dyDescent="0.2">
      <c r="D2196" s="101"/>
    </row>
    <row r="2197" spans="4:4" x14ac:dyDescent="0.2">
      <c r="D2197" s="101"/>
    </row>
    <row r="2198" spans="4:4" x14ac:dyDescent="0.2">
      <c r="D2198" s="101"/>
    </row>
    <row r="2199" spans="4:4" x14ac:dyDescent="0.2">
      <c r="D2199" s="101"/>
    </row>
    <row r="2200" spans="4:4" x14ac:dyDescent="0.2">
      <c r="D2200" s="101"/>
    </row>
    <row r="2201" spans="4:4" x14ac:dyDescent="0.2">
      <c r="D2201" s="101"/>
    </row>
    <row r="2202" spans="4:4" x14ac:dyDescent="0.2">
      <c r="D2202" s="101"/>
    </row>
    <row r="2203" spans="4:4" x14ac:dyDescent="0.2">
      <c r="D2203" s="101"/>
    </row>
    <row r="2204" spans="4:4" x14ac:dyDescent="0.2">
      <c r="D2204" s="101"/>
    </row>
    <row r="2205" spans="4:4" x14ac:dyDescent="0.2">
      <c r="D2205" s="101"/>
    </row>
    <row r="2206" spans="4:4" x14ac:dyDescent="0.2">
      <c r="D2206" s="101"/>
    </row>
    <row r="2207" spans="4:4" x14ac:dyDescent="0.2">
      <c r="D2207" s="101"/>
    </row>
    <row r="2208" spans="4:4" x14ac:dyDescent="0.2">
      <c r="D2208" s="101"/>
    </row>
    <row r="2209" spans="4:4" x14ac:dyDescent="0.2">
      <c r="D2209" s="101"/>
    </row>
    <row r="2210" spans="4:4" x14ac:dyDescent="0.2">
      <c r="D2210" s="101"/>
    </row>
    <row r="2211" spans="4:4" x14ac:dyDescent="0.2">
      <c r="D2211" s="101"/>
    </row>
    <row r="2212" spans="4:4" x14ac:dyDescent="0.2">
      <c r="D2212" s="101"/>
    </row>
    <row r="2213" spans="4:4" x14ac:dyDescent="0.2">
      <c r="D2213" s="101"/>
    </row>
    <row r="2214" spans="4:4" x14ac:dyDescent="0.2">
      <c r="D2214" s="101"/>
    </row>
    <row r="2215" spans="4:4" x14ac:dyDescent="0.2">
      <c r="D2215" s="101"/>
    </row>
    <row r="2216" spans="4:4" x14ac:dyDescent="0.2">
      <c r="D2216" s="101"/>
    </row>
    <row r="2217" spans="4:4" x14ac:dyDescent="0.2">
      <c r="D2217" s="101"/>
    </row>
    <row r="2218" spans="4:4" x14ac:dyDescent="0.2">
      <c r="D2218" s="101"/>
    </row>
    <row r="2219" spans="4:4" x14ac:dyDescent="0.2">
      <c r="D2219" s="101"/>
    </row>
    <row r="2220" spans="4:4" x14ac:dyDescent="0.2">
      <c r="D2220" s="101"/>
    </row>
    <row r="2221" spans="4:4" x14ac:dyDescent="0.2">
      <c r="D2221" s="101"/>
    </row>
    <row r="2222" spans="4:4" x14ac:dyDescent="0.2">
      <c r="D2222" s="101"/>
    </row>
    <row r="2223" spans="4:4" x14ac:dyDescent="0.2">
      <c r="D2223" s="101"/>
    </row>
    <row r="2224" spans="4:4" x14ac:dyDescent="0.2">
      <c r="D2224" s="101"/>
    </row>
    <row r="2225" spans="4:4" x14ac:dyDescent="0.2">
      <c r="D2225" s="101"/>
    </row>
    <row r="2226" spans="4:4" x14ac:dyDescent="0.2">
      <c r="D2226" s="101"/>
    </row>
    <row r="2227" spans="4:4" x14ac:dyDescent="0.2">
      <c r="D2227" s="101"/>
    </row>
    <row r="2228" spans="4:4" x14ac:dyDescent="0.2">
      <c r="D2228" s="101"/>
    </row>
    <row r="2229" spans="4:4" x14ac:dyDescent="0.2">
      <c r="D2229" s="101"/>
    </row>
    <row r="2230" spans="4:4" x14ac:dyDescent="0.2">
      <c r="D2230" s="101"/>
    </row>
    <row r="2231" spans="4:4" x14ac:dyDescent="0.2">
      <c r="D2231" s="101"/>
    </row>
    <row r="2232" spans="4:4" x14ac:dyDescent="0.2">
      <c r="D2232" s="101"/>
    </row>
    <row r="2233" spans="4:4" x14ac:dyDescent="0.2">
      <c r="D2233" s="101"/>
    </row>
    <row r="2234" spans="4:4" x14ac:dyDescent="0.2">
      <c r="D2234" s="101"/>
    </row>
    <row r="2235" spans="4:4" x14ac:dyDescent="0.2">
      <c r="D2235" s="101"/>
    </row>
    <row r="2236" spans="4:4" x14ac:dyDescent="0.2">
      <c r="D2236" s="101"/>
    </row>
    <row r="2237" spans="4:4" x14ac:dyDescent="0.2">
      <c r="D2237" s="101"/>
    </row>
    <row r="2238" spans="4:4" x14ac:dyDescent="0.2">
      <c r="D2238" s="101"/>
    </row>
    <row r="2239" spans="4:4" x14ac:dyDescent="0.2">
      <c r="D2239" s="101"/>
    </row>
    <row r="2240" spans="4:4" x14ac:dyDescent="0.2">
      <c r="D2240" s="101"/>
    </row>
    <row r="2241" spans="4:4" x14ac:dyDescent="0.2">
      <c r="D2241" s="101"/>
    </row>
    <row r="2242" spans="4:4" x14ac:dyDescent="0.2">
      <c r="D2242" s="101"/>
    </row>
    <row r="2243" spans="4:4" x14ac:dyDescent="0.2">
      <c r="D2243" s="101"/>
    </row>
    <row r="2244" spans="4:4" x14ac:dyDescent="0.2">
      <c r="D2244" s="101"/>
    </row>
    <row r="2245" spans="4:4" x14ac:dyDescent="0.2">
      <c r="D2245" s="101"/>
    </row>
    <row r="2246" spans="4:4" x14ac:dyDescent="0.2">
      <c r="D2246" s="101"/>
    </row>
    <row r="2247" spans="4:4" x14ac:dyDescent="0.2">
      <c r="D2247" s="101"/>
    </row>
    <row r="2248" spans="4:4" x14ac:dyDescent="0.2">
      <c r="D2248" s="101"/>
    </row>
    <row r="2249" spans="4:4" x14ac:dyDescent="0.2">
      <c r="D2249" s="101"/>
    </row>
    <row r="2250" spans="4:4" x14ac:dyDescent="0.2">
      <c r="D2250" s="101"/>
    </row>
    <row r="2251" spans="4:4" x14ac:dyDescent="0.2">
      <c r="D2251" s="101"/>
    </row>
    <row r="2252" spans="4:4" x14ac:dyDescent="0.2">
      <c r="D2252" s="101"/>
    </row>
    <row r="2253" spans="4:4" x14ac:dyDescent="0.2">
      <c r="D2253" s="101"/>
    </row>
    <row r="2254" spans="4:4" x14ac:dyDescent="0.2">
      <c r="D2254" s="101"/>
    </row>
    <row r="2255" spans="4:4" x14ac:dyDescent="0.2">
      <c r="D2255" s="101"/>
    </row>
    <row r="2256" spans="4:4" x14ac:dyDescent="0.2">
      <c r="D2256" s="101"/>
    </row>
    <row r="2257" spans="4:4" x14ac:dyDescent="0.2">
      <c r="D2257" s="101"/>
    </row>
    <row r="2258" spans="4:4" x14ac:dyDescent="0.2">
      <c r="D2258" s="101"/>
    </row>
    <row r="2259" spans="4:4" x14ac:dyDescent="0.2">
      <c r="D2259" s="101"/>
    </row>
    <row r="2260" spans="4:4" x14ac:dyDescent="0.2">
      <c r="D2260" s="101"/>
    </row>
    <row r="2261" spans="4:4" x14ac:dyDescent="0.2">
      <c r="D2261" s="101"/>
    </row>
    <row r="2262" spans="4:4" x14ac:dyDescent="0.2">
      <c r="D2262" s="101"/>
    </row>
    <row r="2263" spans="4:4" x14ac:dyDescent="0.2">
      <c r="D2263" s="101"/>
    </row>
    <row r="2264" spans="4:4" x14ac:dyDescent="0.2">
      <c r="D2264" s="101"/>
    </row>
    <row r="2265" spans="4:4" x14ac:dyDescent="0.2">
      <c r="D2265" s="101"/>
    </row>
    <row r="2266" spans="4:4" x14ac:dyDescent="0.2">
      <c r="D2266" s="101"/>
    </row>
    <row r="2267" spans="4:4" x14ac:dyDescent="0.2">
      <c r="D2267" s="101"/>
    </row>
    <row r="2268" spans="4:4" x14ac:dyDescent="0.2">
      <c r="D2268" s="101"/>
    </row>
    <row r="2269" spans="4:4" x14ac:dyDescent="0.2">
      <c r="D2269" s="101"/>
    </row>
    <row r="2270" spans="4:4" x14ac:dyDescent="0.2">
      <c r="D2270" s="101"/>
    </row>
    <row r="2271" spans="4:4" x14ac:dyDescent="0.2">
      <c r="D2271" s="101"/>
    </row>
    <row r="2272" spans="4:4" x14ac:dyDescent="0.2">
      <c r="D2272" s="101"/>
    </row>
    <row r="2273" spans="4:4" x14ac:dyDescent="0.2">
      <c r="D2273" s="101"/>
    </row>
    <row r="2274" spans="4:4" x14ac:dyDescent="0.2">
      <c r="D2274" s="101"/>
    </row>
    <row r="2275" spans="4:4" x14ac:dyDescent="0.2">
      <c r="D2275" s="101"/>
    </row>
    <row r="2276" spans="4:4" x14ac:dyDescent="0.2">
      <c r="D2276" s="101"/>
    </row>
    <row r="2277" spans="4:4" x14ac:dyDescent="0.2">
      <c r="D2277" s="101"/>
    </row>
    <row r="2278" spans="4:4" x14ac:dyDescent="0.2">
      <c r="D2278" s="101"/>
    </row>
    <row r="2279" spans="4:4" x14ac:dyDescent="0.2">
      <c r="D2279" s="101"/>
    </row>
    <row r="2280" spans="4:4" x14ac:dyDescent="0.2">
      <c r="D2280" s="101"/>
    </row>
    <row r="2281" spans="4:4" x14ac:dyDescent="0.2">
      <c r="D2281" s="101"/>
    </row>
    <row r="2282" spans="4:4" x14ac:dyDescent="0.2">
      <c r="D2282" s="101"/>
    </row>
    <row r="2283" spans="4:4" x14ac:dyDescent="0.2">
      <c r="D2283" s="101"/>
    </row>
    <row r="2284" spans="4:4" x14ac:dyDescent="0.2">
      <c r="D2284" s="101"/>
    </row>
    <row r="2285" spans="4:4" x14ac:dyDescent="0.2">
      <c r="D2285" s="101"/>
    </row>
    <row r="2286" spans="4:4" x14ac:dyDescent="0.2">
      <c r="D2286" s="101"/>
    </row>
    <row r="2287" spans="4:4" x14ac:dyDescent="0.2">
      <c r="D2287" s="101"/>
    </row>
    <row r="2288" spans="4:4" x14ac:dyDescent="0.2">
      <c r="D2288" s="101"/>
    </row>
    <row r="2289" spans="4:4" x14ac:dyDescent="0.2">
      <c r="D2289" s="101"/>
    </row>
    <row r="2290" spans="4:4" x14ac:dyDescent="0.2">
      <c r="D2290" s="101"/>
    </row>
    <row r="2291" spans="4:4" x14ac:dyDescent="0.2">
      <c r="D2291" s="101"/>
    </row>
    <row r="2292" spans="4:4" x14ac:dyDescent="0.2">
      <c r="D2292" s="101"/>
    </row>
    <row r="2293" spans="4:4" x14ac:dyDescent="0.2">
      <c r="D2293" s="101"/>
    </row>
    <row r="2294" spans="4:4" x14ac:dyDescent="0.2">
      <c r="D2294" s="101"/>
    </row>
    <row r="2295" spans="4:4" x14ac:dyDescent="0.2">
      <c r="D2295" s="101"/>
    </row>
    <row r="2296" spans="4:4" x14ac:dyDescent="0.2">
      <c r="D2296" s="101"/>
    </row>
    <row r="2297" spans="4:4" x14ac:dyDescent="0.2">
      <c r="D2297" s="101"/>
    </row>
    <row r="2298" spans="4:4" x14ac:dyDescent="0.2">
      <c r="D2298" s="101"/>
    </row>
    <row r="2299" spans="4:4" x14ac:dyDescent="0.2">
      <c r="D2299" s="101"/>
    </row>
    <row r="2300" spans="4:4" x14ac:dyDescent="0.2">
      <c r="D2300" s="101"/>
    </row>
    <row r="2301" spans="4:4" x14ac:dyDescent="0.2">
      <c r="D2301" s="101"/>
    </row>
    <row r="2302" spans="4:4" x14ac:dyDescent="0.2">
      <c r="D2302" s="101"/>
    </row>
    <row r="2303" spans="4:4" x14ac:dyDescent="0.2">
      <c r="D2303" s="101"/>
    </row>
    <row r="2304" spans="4:4" x14ac:dyDescent="0.2">
      <c r="D2304" s="101"/>
    </row>
    <row r="2305" spans="4:4" x14ac:dyDescent="0.2">
      <c r="D2305" s="101"/>
    </row>
    <row r="2306" spans="4:4" x14ac:dyDescent="0.2">
      <c r="D2306" s="101"/>
    </row>
    <row r="2307" spans="4:4" x14ac:dyDescent="0.2">
      <c r="D2307" s="101"/>
    </row>
    <row r="2308" spans="4:4" x14ac:dyDescent="0.2">
      <c r="D2308" s="101"/>
    </row>
    <row r="2309" spans="4:4" x14ac:dyDescent="0.2">
      <c r="D2309" s="101"/>
    </row>
    <row r="2310" spans="4:4" x14ac:dyDescent="0.2">
      <c r="D2310" s="101"/>
    </row>
    <row r="2311" spans="4:4" x14ac:dyDescent="0.2">
      <c r="D2311" s="101"/>
    </row>
    <row r="2312" spans="4:4" x14ac:dyDescent="0.2">
      <c r="D2312" s="101"/>
    </row>
    <row r="2313" spans="4:4" x14ac:dyDescent="0.2">
      <c r="D2313" s="101"/>
    </row>
    <row r="2314" spans="4:4" x14ac:dyDescent="0.2">
      <c r="D2314" s="101"/>
    </row>
    <row r="2315" spans="4:4" x14ac:dyDescent="0.2">
      <c r="D2315" s="101"/>
    </row>
    <row r="2316" spans="4:4" x14ac:dyDescent="0.2">
      <c r="D2316" s="101"/>
    </row>
    <row r="2317" spans="4:4" x14ac:dyDescent="0.2">
      <c r="D2317" s="101"/>
    </row>
    <row r="2318" spans="4:4" x14ac:dyDescent="0.2">
      <c r="D2318" s="101"/>
    </row>
    <row r="2319" spans="4:4" x14ac:dyDescent="0.2">
      <c r="D2319" s="101"/>
    </row>
    <row r="2320" spans="4:4" x14ac:dyDescent="0.2">
      <c r="D2320" s="101"/>
    </row>
    <row r="2321" spans="4:4" x14ac:dyDescent="0.2">
      <c r="D2321" s="101"/>
    </row>
    <row r="2322" spans="4:4" x14ac:dyDescent="0.2">
      <c r="D2322" s="101"/>
    </row>
    <row r="2323" spans="4:4" x14ac:dyDescent="0.2">
      <c r="D2323" s="101"/>
    </row>
    <row r="2324" spans="4:4" x14ac:dyDescent="0.2">
      <c r="D2324" s="101"/>
    </row>
    <row r="2325" spans="4:4" x14ac:dyDescent="0.2">
      <c r="D2325" s="101"/>
    </row>
    <row r="2326" spans="4:4" x14ac:dyDescent="0.2">
      <c r="D2326" s="101"/>
    </row>
    <row r="2327" spans="4:4" x14ac:dyDescent="0.2">
      <c r="D2327" s="101"/>
    </row>
    <row r="2328" spans="4:4" x14ac:dyDescent="0.2">
      <c r="D2328" s="101"/>
    </row>
    <row r="2329" spans="4:4" x14ac:dyDescent="0.2">
      <c r="D2329" s="101"/>
    </row>
    <row r="2330" spans="4:4" x14ac:dyDescent="0.2">
      <c r="D2330" s="101"/>
    </row>
    <row r="2331" spans="4:4" x14ac:dyDescent="0.2">
      <c r="D2331" s="101"/>
    </row>
    <row r="2332" spans="4:4" x14ac:dyDescent="0.2">
      <c r="D2332" s="101"/>
    </row>
    <row r="2333" spans="4:4" x14ac:dyDescent="0.2">
      <c r="D2333" s="101"/>
    </row>
    <row r="2334" spans="4:4" x14ac:dyDescent="0.2">
      <c r="D2334" s="101"/>
    </row>
    <row r="2335" spans="4:4" x14ac:dyDescent="0.2">
      <c r="D2335" s="101"/>
    </row>
    <row r="2336" spans="4:4" x14ac:dyDescent="0.2">
      <c r="D2336" s="101"/>
    </row>
    <row r="2337" spans="4:4" x14ac:dyDescent="0.2">
      <c r="D2337" s="101"/>
    </row>
    <row r="2338" spans="4:4" x14ac:dyDescent="0.2">
      <c r="D2338" s="101"/>
    </row>
    <row r="2339" spans="4:4" x14ac:dyDescent="0.2">
      <c r="D2339" s="101"/>
    </row>
    <row r="2340" spans="4:4" x14ac:dyDescent="0.2">
      <c r="D2340" s="101"/>
    </row>
    <row r="2341" spans="4:4" x14ac:dyDescent="0.2">
      <c r="D2341" s="101"/>
    </row>
    <row r="2342" spans="4:4" x14ac:dyDescent="0.2">
      <c r="D2342" s="101"/>
    </row>
    <row r="2343" spans="4:4" x14ac:dyDescent="0.2">
      <c r="D2343" s="101"/>
    </row>
    <row r="2344" spans="4:4" x14ac:dyDescent="0.2">
      <c r="D2344" s="101"/>
    </row>
    <row r="2345" spans="4:4" x14ac:dyDescent="0.2">
      <c r="D2345" s="101"/>
    </row>
    <row r="2346" spans="4:4" x14ac:dyDescent="0.2">
      <c r="D2346" s="101"/>
    </row>
    <row r="2347" spans="4:4" x14ac:dyDescent="0.2">
      <c r="D2347" s="101"/>
    </row>
    <row r="2348" spans="4:4" x14ac:dyDescent="0.2">
      <c r="D2348" s="101"/>
    </row>
    <row r="2349" spans="4:4" x14ac:dyDescent="0.2">
      <c r="D2349" s="101"/>
    </row>
    <row r="2350" spans="4:4" x14ac:dyDescent="0.2">
      <c r="D2350" s="101"/>
    </row>
    <row r="2351" spans="4:4" x14ac:dyDescent="0.2">
      <c r="D2351" s="101"/>
    </row>
    <row r="2352" spans="4:4" x14ac:dyDescent="0.2">
      <c r="D2352" s="101"/>
    </row>
    <row r="2353" spans="4:4" x14ac:dyDescent="0.2">
      <c r="D2353" s="101"/>
    </row>
    <row r="2354" spans="4:4" x14ac:dyDescent="0.2">
      <c r="D2354" s="101"/>
    </row>
    <row r="2355" spans="4:4" x14ac:dyDescent="0.2">
      <c r="D2355" s="101"/>
    </row>
    <row r="2356" spans="4:4" x14ac:dyDescent="0.2">
      <c r="D2356" s="101"/>
    </row>
    <row r="2357" spans="4:4" x14ac:dyDescent="0.2">
      <c r="D2357" s="101"/>
    </row>
    <row r="2358" spans="4:4" x14ac:dyDescent="0.2">
      <c r="D2358" s="101"/>
    </row>
    <row r="2359" spans="4:4" x14ac:dyDescent="0.2">
      <c r="D2359" s="101"/>
    </row>
    <row r="2360" spans="4:4" x14ac:dyDescent="0.2">
      <c r="D2360" s="101"/>
    </row>
    <row r="2361" spans="4:4" x14ac:dyDescent="0.2">
      <c r="D2361" s="101"/>
    </row>
    <row r="2362" spans="4:4" x14ac:dyDescent="0.2">
      <c r="D2362" s="101"/>
    </row>
    <row r="2363" spans="4:4" x14ac:dyDescent="0.2">
      <c r="D2363" s="101"/>
    </row>
    <row r="2364" spans="4:4" x14ac:dyDescent="0.2">
      <c r="D2364" s="101"/>
    </row>
    <row r="2365" spans="4:4" x14ac:dyDescent="0.2">
      <c r="D2365" s="101"/>
    </row>
    <row r="2366" spans="4:4" x14ac:dyDescent="0.2">
      <c r="D2366" s="101"/>
    </row>
    <row r="2367" spans="4:4" x14ac:dyDescent="0.2">
      <c r="D2367" s="101"/>
    </row>
    <row r="2368" spans="4:4" x14ac:dyDescent="0.2">
      <c r="D2368" s="101"/>
    </row>
    <row r="2369" spans="4:4" x14ac:dyDescent="0.2">
      <c r="D2369" s="101"/>
    </row>
    <row r="2370" spans="4:4" x14ac:dyDescent="0.2">
      <c r="D2370" s="101"/>
    </row>
    <row r="2371" spans="4:4" x14ac:dyDescent="0.2">
      <c r="D2371" s="101"/>
    </row>
    <row r="2372" spans="4:4" x14ac:dyDescent="0.2">
      <c r="D2372" s="101"/>
    </row>
    <row r="2373" spans="4:4" x14ac:dyDescent="0.2">
      <c r="D2373" s="101"/>
    </row>
    <row r="2374" spans="4:4" x14ac:dyDescent="0.2">
      <c r="D2374" s="101"/>
    </row>
    <row r="2375" spans="4:4" x14ac:dyDescent="0.2">
      <c r="D2375" s="101"/>
    </row>
    <row r="2376" spans="4:4" x14ac:dyDescent="0.2">
      <c r="D2376" s="101"/>
    </row>
    <row r="2377" spans="4:4" x14ac:dyDescent="0.2">
      <c r="D2377" s="101"/>
    </row>
    <row r="2378" spans="4:4" x14ac:dyDescent="0.2">
      <c r="D2378" s="101"/>
    </row>
    <row r="2379" spans="4:4" x14ac:dyDescent="0.2">
      <c r="D2379" s="101"/>
    </row>
    <row r="2380" spans="4:4" x14ac:dyDescent="0.2">
      <c r="D2380" s="101"/>
    </row>
    <row r="2381" spans="4:4" x14ac:dyDescent="0.2">
      <c r="D2381" s="101"/>
    </row>
    <row r="2382" spans="4:4" x14ac:dyDescent="0.2">
      <c r="D2382" s="101"/>
    </row>
    <row r="2383" spans="4:4" x14ac:dyDescent="0.2">
      <c r="D2383" s="101"/>
    </row>
    <row r="2384" spans="4:4" x14ac:dyDescent="0.2">
      <c r="D2384" s="101"/>
    </row>
    <row r="2385" spans="4:4" x14ac:dyDescent="0.2">
      <c r="D2385" s="101"/>
    </row>
    <row r="2386" spans="4:4" x14ac:dyDescent="0.2">
      <c r="D2386" s="101"/>
    </row>
    <row r="2387" spans="4:4" x14ac:dyDescent="0.2">
      <c r="D2387" s="101"/>
    </row>
    <row r="2388" spans="4:4" x14ac:dyDescent="0.2">
      <c r="D2388" s="101"/>
    </row>
    <row r="2389" spans="4:4" x14ac:dyDescent="0.2">
      <c r="D2389" s="101"/>
    </row>
    <row r="2390" spans="4:4" x14ac:dyDescent="0.2">
      <c r="D2390" s="101"/>
    </row>
    <row r="2391" spans="4:4" x14ac:dyDescent="0.2">
      <c r="D2391" s="101"/>
    </row>
    <row r="2392" spans="4:4" x14ac:dyDescent="0.2">
      <c r="D2392" s="101"/>
    </row>
    <row r="2393" spans="4:4" x14ac:dyDescent="0.2">
      <c r="D2393" s="101"/>
    </row>
    <row r="2394" spans="4:4" x14ac:dyDescent="0.2">
      <c r="D2394" s="101"/>
    </row>
    <row r="2395" spans="4:4" x14ac:dyDescent="0.2">
      <c r="D2395" s="101"/>
    </row>
    <row r="2396" spans="4:4" x14ac:dyDescent="0.2">
      <c r="D2396" s="101"/>
    </row>
    <row r="2397" spans="4:4" x14ac:dyDescent="0.2">
      <c r="D2397" s="101"/>
    </row>
    <row r="2398" spans="4:4" x14ac:dyDescent="0.2">
      <c r="D2398" s="101"/>
    </row>
    <row r="2399" spans="4:4" x14ac:dyDescent="0.2">
      <c r="D2399" s="101"/>
    </row>
    <row r="2400" spans="4:4" x14ac:dyDescent="0.2">
      <c r="D2400" s="101"/>
    </row>
    <row r="2401" spans="4:4" x14ac:dyDescent="0.2">
      <c r="D2401" s="101"/>
    </row>
    <row r="2402" spans="4:4" x14ac:dyDescent="0.2">
      <c r="D2402" s="101"/>
    </row>
    <row r="2403" spans="4:4" x14ac:dyDescent="0.2">
      <c r="D2403" s="101"/>
    </row>
    <row r="2404" spans="4:4" x14ac:dyDescent="0.2">
      <c r="D2404" s="101"/>
    </row>
    <row r="2405" spans="4:4" x14ac:dyDescent="0.2">
      <c r="D2405" s="101"/>
    </row>
    <row r="2406" spans="4:4" x14ac:dyDescent="0.2">
      <c r="D2406" s="101"/>
    </row>
    <row r="2407" spans="4:4" x14ac:dyDescent="0.2">
      <c r="D2407" s="101"/>
    </row>
    <row r="2408" spans="4:4" x14ac:dyDescent="0.2">
      <c r="D2408" s="101"/>
    </row>
    <row r="2409" spans="4:4" x14ac:dyDescent="0.2">
      <c r="D2409" s="101"/>
    </row>
    <row r="2410" spans="4:4" x14ac:dyDescent="0.2">
      <c r="D2410" s="101"/>
    </row>
    <row r="2411" spans="4:4" x14ac:dyDescent="0.2">
      <c r="D2411" s="101"/>
    </row>
    <row r="2412" spans="4:4" x14ac:dyDescent="0.2">
      <c r="D2412" s="101"/>
    </row>
    <row r="2413" spans="4:4" x14ac:dyDescent="0.2">
      <c r="D2413" s="101"/>
    </row>
    <row r="2414" spans="4:4" x14ac:dyDescent="0.2">
      <c r="D2414" s="101"/>
    </row>
    <row r="2415" spans="4:4" x14ac:dyDescent="0.2">
      <c r="D2415" s="101"/>
    </row>
    <row r="2416" spans="4:4" x14ac:dyDescent="0.2">
      <c r="D2416" s="101"/>
    </row>
    <row r="2417" spans="4:4" x14ac:dyDescent="0.2">
      <c r="D2417" s="101"/>
    </row>
    <row r="2418" spans="4:4" x14ac:dyDescent="0.2">
      <c r="D2418" s="101"/>
    </row>
    <row r="2419" spans="4:4" x14ac:dyDescent="0.2">
      <c r="D2419" s="101"/>
    </row>
    <row r="2420" spans="4:4" x14ac:dyDescent="0.2">
      <c r="D2420" s="101"/>
    </row>
    <row r="2421" spans="4:4" x14ac:dyDescent="0.2">
      <c r="D2421" s="101"/>
    </row>
    <row r="2422" spans="4:4" x14ac:dyDescent="0.2">
      <c r="D2422" s="101"/>
    </row>
    <row r="2423" spans="4:4" x14ac:dyDescent="0.2">
      <c r="D2423" s="101"/>
    </row>
    <row r="2424" spans="4:4" x14ac:dyDescent="0.2">
      <c r="D2424" s="101"/>
    </row>
    <row r="2425" spans="4:4" x14ac:dyDescent="0.2">
      <c r="D2425" s="101"/>
    </row>
    <row r="2426" spans="4:4" x14ac:dyDescent="0.2">
      <c r="D2426" s="101"/>
    </row>
    <row r="2427" spans="4:4" x14ac:dyDescent="0.2">
      <c r="D2427" s="101"/>
    </row>
    <row r="2428" spans="4:4" x14ac:dyDescent="0.2">
      <c r="D2428" s="101"/>
    </row>
    <row r="2429" spans="4:4" x14ac:dyDescent="0.2">
      <c r="D2429" s="101"/>
    </row>
    <row r="2430" spans="4:4" x14ac:dyDescent="0.2">
      <c r="D2430" s="101"/>
    </row>
    <row r="2431" spans="4:4" x14ac:dyDescent="0.2">
      <c r="D2431" s="101"/>
    </row>
    <row r="2432" spans="4:4" x14ac:dyDescent="0.2">
      <c r="D2432" s="101"/>
    </row>
    <row r="2433" spans="4:4" x14ac:dyDescent="0.2">
      <c r="D2433" s="101"/>
    </row>
    <row r="2434" spans="4:4" x14ac:dyDescent="0.2">
      <c r="D2434" s="101"/>
    </row>
    <row r="2435" spans="4:4" x14ac:dyDescent="0.2">
      <c r="D2435" s="101"/>
    </row>
    <row r="2436" spans="4:4" x14ac:dyDescent="0.2">
      <c r="D2436" s="101"/>
    </row>
    <row r="2437" spans="4:4" x14ac:dyDescent="0.2">
      <c r="D2437" s="101"/>
    </row>
    <row r="2438" spans="4:4" x14ac:dyDescent="0.2">
      <c r="D2438" s="101"/>
    </row>
    <row r="2439" spans="4:4" x14ac:dyDescent="0.2">
      <c r="D2439" s="101"/>
    </row>
    <row r="2440" spans="4:4" x14ac:dyDescent="0.2">
      <c r="D2440" s="101"/>
    </row>
    <row r="2441" spans="4:4" x14ac:dyDescent="0.2">
      <c r="D2441" s="101"/>
    </row>
    <row r="2442" spans="4:4" x14ac:dyDescent="0.2">
      <c r="D2442" s="101"/>
    </row>
    <row r="2443" spans="4:4" x14ac:dyDescent="0.2">
      <c r="D2443" s="101"/>
    </row>
    <row r="2444" spans="4:4" x14ac:dyDescent="0.2">
      <c r="D2444" s="101"/>
    </row>
    <row r="2445" spans="4:4" x14ac:dyDescent="0.2">
      <c r="D2445" s="101"/>
    </row>
    <row r="2446" spans="4:4" x14ac:dyDescent="0.2">
      <c r="D2446" s="101"/>
    </row>
    <row r="2447" spans="4:4" x14ac:dyDescent="0.2">
      <c r="D2447" s="101"/>
    </row>
    <row r="2448" spans="4:4" x14ac:dyDescent="0.2">
      <c r="D2448" s="101"/>
    </row>
    <row r="2449" spans="4:4" x14ac:dyDescent="0.2">
      <c r="D2449" s="101"/>
    </row>
    <row r="2450" spans="4:4" x14ac:dyDescent="0.2">
      <c r="D2450" s="101"/>
    </row>
    <row r="2451" spans="4:4" x14ac:dyDescent="0.2">
      <c r="D2451" s="101"/>
    </row>
    <row r="2452" spans="4:4" x14ac:dyDescent="0.2">
      <c r="D2452" s="101"/>
    </row>
    <row r="2453" spans="4:4" x14ac:dyDescent="0.2">
      <c r="D2453" s="101"/>
    </row>
    <row r="2454" spans="4:4" x14ac:dyDescent="0.2">
      <c r="D2454" s="101"/>
    </row>
    <row r="2455" spans="4:4" x14ac:dyDescent="0.2">
      <c r="D2455" s="101"/>
    </row>
    <row r="2456" spans="4:4" x14ac:dyDescent="0.2">
      <c r="D2456" s="101"/>
    </row>
    <row r="2457" spans="4:4" x14ac:dyDescent="0.2">
      <c r="D2457" s="101"/>
    </row>
    <row r="2458" spans="4:4" x14ac:dyDescent="0.2">
      <c r="D2458" s="101"/>
    </row>
    <row r="2459" spans="4:4" x14ac:dyDescent="0.2">
      <c r="D2459" s="101"/>
    </row>
    <row r="2460" spans="4:4" x14ac:dyDescent="0.2">
      <c r="D2460" s="101"/>
    </row>
    <row r="2461" spans="4:4" x14ac:dyDescent="0.2">
      <c r="D2461" s="101"/>
    </row>
    <row r="2462" spans="4:4" x14ac:dyDescent="0.2">
      <c r="D2462" s="101"/>
    </row>
    <row r="2463" spans="4:4" x14ac:dyDescent="0.2">
      <c r="D2463" s="101"/>
    </row>
    <row r="2464" spans="4:4" x14ac:dyDescent="0.2">
      <c r="D2464" s="101"/>
    </row>
    <row r="2465" spans="4:4" x14ac:dyDescent="0.2">
      <c r="D2465" s="101"/>
    </row>
    <row r="2466" spans="4:4" x14ac:dyDescent="0.2">
      <c r="D2466" s="101"/>
    </row>
    <row r="2467" spans="4:4" x14ac:dyDescent="0.2">
      <c r="D2467" s="101"/>
    </row>
    <row r="2468" spans="4:4" x14ac:dyDescent="0.2">
      <c r="D2468" s="101"/>
    </row>
    <row r="2469" spans="4:4" x14ac:dyDescent="0.2">
      <c r="D2469" s="101"/>
    </row>
    <row r="2470" spans="4:4" x14ac:dyDescent="0.2">
      <c r="D2470" s="101"/>
    </row>
    <row r="2471" spans="4:4" x14ac:dyDescent="0.2">
      <c r="D2471" s="101"/>
    </row>
    <row r="2472" spans="4:4" x14ac:dyDescent="0.2">
      <c r="D2472" s="101"/>
    </row>
    <row r="2473" spans="4:4" x14ac:dyDescent="0.2">
      <c r="D2473" s="101"/>
    </row>
    <row r="2474" spans="4:4" x14ac:dyDescent="0.2">
      <c r="D2474" s="101"/>
    </row>
    <row r="2475" spans="4:4" x14ac:dyDescent="0.2">
      <c r="D2475" s="101"/>
    </row>
    <row r="2476" spans="4:4" x14ac:dyDescent="0.2">
      <c r="D2476" s="101"/>
    </row>
    <row r="2477" spans="4:4" x14ac:dyDescent="0.2">
      <c r="D2477" s="101"/>
    </row>
    <row r="2478" spans="4:4" x14ac:dyDescent="0.2">
      <c r="D2478" s="101"/>
    </row>
    <row r="2479" spans="4:4" x14ac:dyDescent="0.2">
      <c r="D2479" s="101"/>
    </row>
    <row r="2480" spans="4:4" x14ac:dyDescent="0.2">
      <c r="D2480" s="101"/>
    </row>
    <row r="2481" spans="4:4" x14ac:dyDescent="0.2">
      <c r="D2481" s="101"/>
    </row>
    <row r="2482" spans="4:4" x14ac:dyDescent="0.2">
      <c r="D2482" s="101"/>
    </row>
    <row r="2483" spans="4:4" x14ac:dyDescent="0.2">
      <c r="D2483" s="101"/>
    </row>
    <row r="2484" spans="4:4" x14ac:dyDescent="0.2">
      <c r="D2484" s="101"/>
    </row>
    <row r="2485" spans="4:4" x14ac:dyDescent="0.2">
      <c r="D2485" s="101"/>
    </row>
    <row r="2486" spans="4:4" x14ac:dyDescent="0.2">
      <c r="D2486" s="101"/>
    </row>
    <row r="2487" spans="4:4" x14ac:dyDescent="0.2">
      <c r="D2487" s="101"/>
    </row>
    <row r="2488" spans="4:4" x14ac:dyDescent="0.2">
      <c r="D2488" s="101"/>
    </row>
    <row r="2489" spans="4:4" x14ac:dyDescent="0.2">
      <c r="D2489" s="101"/>
    </row>
    <row r="2490" spans="4:4" x14ac:dyDescent="0.2">
      <c r="D2490" s="101"/>
    </row>
    <row r="2491" spans="4:4" x14ac:dyDescent="0.2">
      <c r="D2491" s="101"/>
    </row>
    <row r="2492" spans="4:4" x14ac:dyDescent="0.2">
      <c r="D2492" s="101"/>
    </row>
    <row r="2493" spans="4:4" x14ac:dyDescent="0.2">
      <c r="D2493" s="101"/>
    </row>
    <row r="2494" spans="4:4" x14ac:dyDescent="0.2">
      <c r="D2494" s="101"/>
    </row>
    <row r="2495" spans="4:4" x14ac:dyDescent="0.2">
      <c r="D2495" s="101"/>
    </row>
    <row r="2496" spans="4:4" x14ac:dyDescent="0.2">
      <c r="D2496" s="101"/>
    </row>
    <row r="2497" spans="4:4" x14ac:dyDescent="0.2">
      <c r="D2497" s="101"/>
    </row>
    <row r="2498" spans="4:4" x14ac:dyDescent="0.2">
      <c r="D2498" s="101"/>
    </row>
    <row r="2499" spans="4:4" x14ac:dyDescent="0.2">
      <c r="D2499" s="101"/>
    </row>
    <row r="2500" spans="4:4" x14ac:dyDescent="0.2">
      <c r="D2500" s="101"/>
    </row>
    <row r="2501" spans="4:4" x14ac:dyDescent="0.2">
      <c r="D2501" s="101"/>
    </row>
    <row r="2502" spans="4:4" x14ac:dyDescent="0.2">
      <c r="D2502" s="101"/>
    </row>
    <row r="2503" spans="4:4" x14ac:dyDescent="0.2">
      <c r="D2503" s="101"/>
    </row>
    <row r="2504" spans="4:4" x14ac:dyDescent="0.2">
      <c r="D2504" s="101"/>
    </row>
    <row r="2505" spans="4:4" x14ac:dyDescent="0.2">
      <c r="D2505" s="101"/>
    </row>
    <row r="2506" spans="4:4" x14ac:dyDescent="0.2">
      <c r="D2506" s="101"/>
    </row>
    <row r="2507" spans="4:4" x14ac:dyDescent="0.2">
      <c r="D2507" s="101"/>
    </row>
    <row r="2508" spans="4:4" x14ac:dyDescent="0.2">
      <c r="D2508" s="101"/>
    </row>
    <row r="2509" spans="4:4" x14ac:dyDescent="0.2">
      <c r="D2509" s="101"/>
    </row>
    <row r="2510" spans="4:4" x14ac:dyDescent="0.2">
      <c r="D2510" s="101"/>
    </row>
    <row r="2511" spans="4:4" x14ac:dyDescent="0.2">
      <c r="D2511" s="101"/>
    </row>
    <row r="2512" spans="4:4" x14ac:dyDescent="0.2">
      <c r="D2512" s="101"/>
    </row>
    <row r="2513" spans="4:4" x14ac:dyDescent="0.2">
      <c r="D2513" s="101"/>
    </row>
    <row r="2514" spans="4:4" x14ac:dyDescent="0.2">
      <c r="D2514" s="101"/>
    </row>
    <row r="2515" spans="4:4" x14ac:dyDescent="0.2">
      <c r="D2515" s="101"/>
    </row>
    <row r="2516" spans="4:4" x14ac:dyDescent="0.2">
      <c r="D2516" s="101"/>
    </row>
    <row r="2517" spans="4:4" x14ac:dyDescent="0.2">
      <c r="D2517" s="101"/>
    </row>
    <row r="2518" spans="4:4" x14ac:dyDescent="0.2">
      <c r="D2518" s="101"/>
    </row>
    <row r="2519" spans="4:4" x14ac:dyDescent="0.2">
      <c r="D2519" s="101"/>
    </row>
    <row r="2520" spans="4:4" x14ac:dyDescent="0.2">
      <c r="D2520" s="101"/>
    </row>
    <row r="2521" spans="4:4" x14ac:dyDescent="0.2">
      <c r="D2521" s="101"/>
    </row>
    <row r="2522" spans="4:4" x14ac:dyDescent="0.2">
      <c r="D2522" s="101"/>
    </row>
    <row r="2523" spans="4:4" x14ac:dyDescent="0.2">
      <c r="D2523" s="101"/>
    </row>
    <row r="2524" spans="4:4" x14ac:dyDescent="0.2">
      <c r="D2524" s="101"/>
    </row>
    <row r="2525" spans="4:4" x14ac:dyDescent="0.2">
      <c r="D2525" s="101"/>
    </row>
    <row r="2526" spans="4:4" x14ac:dyDescent="0.2">
      <c r="D2526" s="101"/>
    </row>
    <row r="2527" spans="4:4" x14ac:dyDescent="0.2">
      <c r="D2527" s="101"/>
    </row>
    <row r="2528" spans="4:4" x14ac:dyDescent="0.2">
      <c r="D2528" s="101"/>
    </row>
    <row r="2529" spans="4:4" x14ac:dyDescent="0.2">
      <c r="D2529" s="101"/>
    </row>
    <row r="2530" spans="4:4" x14ac:dyDescent="0.2">
      <c r="D2530" s="101"/>
    </row>
    <row r="2531" spans="4:4" x14ac:dyDescent="0.2">
      <c r="D2531" s="101"/>
    </row>
    <row r="2532" spans="4:4" x14ac:dyDescent="0.2">
      <c r="D2532" s="101"/>
    </row>
    <row r="2533" spans="4:4" x14ac:dyDescent="0.2">
      <c r="D2533" s="101"/>
    </row>
    <row r="2534" spans="4:4" x14ac:dyDescent="0.2">
      <c r="D2534" s="101"/>
    </row>
    <row r="2535" spans="4:4" x14ac:dyDescent="0.2">
      <c r="D2535" s="101"/>
    </row>
    <row r="2536" spans="4:4" x14ac:dyDescent="0.2">
      <c r="D2536" s="101"/>
    </row>
    <row r="2537" spans="4:4" x14ac:dyDescent="0.2">
      <c r="D2537" s="101"/>
    </row>
    <row r="2538" spans="4:4" x14ac:dyDescent="0.2">
      <c r="D2538" s="101"/>
    </row>
    <row r="2539" spans="4:4" x14ac:dyDescent="0.2">
      <c r="D2539" s="101"/>
    </row>
    <row r="2540" spans="4:4" x14ac:dyDescent="0.2">
      <c r="D2540" s="101"/>
    </row>
    <row r="2541" spans="4:4" x14ac:dyDescent="0.2">
      <c r="D2541" s="101"/>
    </row>
    <row r="2542" spans="4:4" x14ac:dyDescent="0.2">
      <c r="D2542" s="101"/>
    </row>
    <row r="2543" spans="4:4" x14ac:dyDescent="0.2">
      <c r="D2543" s="101"/>
    </row>
    <row r="2544" spans="4:4" x14ac:dyDescent="0.2">
      <c r="D2544" s="101"/>
    </row>
    <row r="2545" spans="4:4" x14ac:dyDescent="0.2">
      <c r="D2545" s="101"/>
    </row>
    <row r="2546" spans="4:4" x14ac:dyDescent="0.2">
      <c r="D2546" s="101"/>
    </row>
    <row r="2547" spans="4:4" x14ac:dyDescent="0.2">
      <c r="D2547" s="101"/>
    </row>
    <row r="2548" spans="4:4" x14ac:dyDescent="0.2">
      <c r="D2548" s="101"/>
    </row>
    <row r="2549" spans="4:4" x14ac:dyDescent="0.2">
      <c r="D2549" s="101"/>
    </row>
    <row r="2550" spans="4:4" x14ac:dyDescent="0.2">
      <c r="D2550" s="101"/>
    </row>
    <row r="2551" spans="4:4" x14ac:dyDescent="0.2">
      <c r="D2551" s="101"/>
    </row>
    <row r="2552" spans="4:4" x14ac:dyDescent="0.2">
      <c r="D2552" s="101"/>
    </row>
    <row r="2553" spans="4:4" x14ac:dyDescent="0.2">
      <c r="D2553" s="101"/>
    </row>
    <row r="2554" spans="4:4" x14ac:dyDescent="0.2">
      <c r="D2554" s="101"/>
    </row>
    <row r="2555" spans="4:4" x14ac:dyDescent="0.2">
      <c r="D2555" s="101"/>
    </row>
    <row r="2556" spans="4:4" x14ac:dyDescent="0.2">
      <c r="D2556" s="101"/>
    </row>
    <row r="2557" spans="4:4" x14ac:dyDescent="0.2">
      <c r="D2557" s="101"/>
    </row>
    <row r="2558" spans="4:4" x14ac:dyDescent="0.2">
      <c r="D2558" s="101"/>
    </row>
    <row r="2559" spans="4:4" x14ac:dyDescent="0.2">
      <c r="D2559" s="101"/>
    </row>
    <row r="2560" spans="4:4" x14ac:dyDescent="0.2">
      <c r="D2560" s="101"/>
    </row>
    <row r="2561" spans="4:4" x14ac:dyDescent="0.2">
      <c r="D2561" s="101"/>
    </row>
    <row r="2562" spans="4:4" x14ac:dyDescent="0.2">
      <c r="D2562" s="101"/>
    </row>
    <row r="2563" spans="4:4" x14ac:dyDescent="0.2">
      <c r="D2563" s="101"/>
    </row>
    <row r="2564" spans="4:4" x14ac:dyDescent="0.2">
      <c r="D2564" s="101"/>
    </row>
    <row r="2565" spans="4:4" x14ac:dyDescent="0.2">
      <c r="D2565" s="101"/>
    </row>
    <row r="2566" spans="4:4" x14ac:dyDescent="0.2">
      <c r="D2566" s="101"/>
    </row>
    <row r="2567" spans="4:4" x14ac:dyDescent="0.2">
      <c r="D2567" s="101"/>
    </row>
    <row r="2568" spans="4:4" x14ac:dyDescent="0.2">
      <c r="D2568" s="101"/>
    </row>
    <row r="2569" spans="4:4" x14ac:dyDescent="0.2">
      <c r="D2569" s="101"/>
    </row>
    <row r="2570" spans="4:4" x14ac:dyDescent="0.2">
      <c r="D2570" s="101"/>
    </row>
    <row r="2571" spans="4:4" x14ac:dyDescent="0.2">
      <c r="D2571" s="101"/>
    </row>
    <row r="2572" spans="4:4" x14ac:dyDescent="0.2">
      <c r="D2572" s="101"/>
    </row>
    <row r="2573" spans="4:4" x14ac:dyDescent="0.2">
      <c r="D2573" s="101"/>
    </row>
    <row r="2574" spans="4:4" x14ac:dyDescent="0.2">
      <c r="D2574" s="101"/>
    </row>
    <row r="2575" spans="4:4" x14ac:dyDescent="0.2">
      <c r="D2575" s="101"/>
    </row>
    <row r="2576" spans="4:4" x14ac:dyDescent="0.2">
      <c r="D2576" s="101"/>
    </row>
    <row r="2577" spans="4:4" x14ac:dyDescent="0.2">
      <c r="D2577" s="101"/>
    </row>
    <row r="2578" spans="4:4" x14ac:dyDescent="0.2">
      <c r="D2578" s="101"/>
    </row>
    <row r="2579" spans="4:4" x14ac:dyDescent="0.2">
      <c r="D2579" s="101"/>
    </row>
    <row r="2580" spans="4:4" x14ac:dyDescent="0.2">
      <c r="D2580" s="101"/>
    </row>
    <row r="2581" spans="4:4" x14ac:dyDescent="0.2">
      <c r="D2581" s="101"/>
    </row>
    <row r="2582" spans="4:4" x14ac:dyDescent="0.2">
      <c r="D2582" s="101"/>
    </row>
    <row r="2583" spans="4:4" x14ac:dyDescent="0.2">
      <c r="D2583" s="101"/>
    </row>
    <row r="2584" spans="4:4" x14ac:dyDescent="0.2">
      <c r="D2584" s="101"/>
    </row>
    <row r="2585" spans="4:4" x14ac:dyDescent="0.2">
      <c r="D2585" s="101"/>
    </row>
    <row r="2586" spans="4:4" x14ac:dyDescent="0.2">
      <c r="D2586" s="101"/>
    </row>
    <row r="2587" spans="4:4" x14ac:dyDescent="0.2">
      <c r="D2587" s="101"/>
    </row>
    <row r="2588" spans="4:4" x14ac:dyDescent="0.2">
      <c r="D2588" s="101"/>
    </row>
    <row r="2589" spans="4:4" x14ac:dyDescent="0.2">
      <c r="D2589" s="101"/>
    </row>
    <row r="2590" spans="4:4" x14ac:dyDescent="0.2">
      <c r="D2590" s="101"/>
    </row>
    <row r="2591" spans="4:4" x14ac:dyDescent="0.2">
      <c r="D2591" s="101"/>
    </row>
    <row r="2592" spans="4:4" x14ac:dyDescent="0.2">
      <c r="D2592" s="101"/>
    </row>
    <row r="2593" spans="4:4" x14ac:dyDescent="0.2">
      <c r="D2593" s="101"/>
    </row>
    <row r="2594" spans="4:4" x14ac:dyDescent="0.2">
      <c r="D2594" s="101"/>
    </row>
    <row r="2595" spans="4:4" x14ac:dyDescent="0.2">
      <c r="D2595" s="101"/>
    </row>
  </sheetData>
  <mergeCells count="2"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7C19-83E4-464D-8711-6DCAE006A3BE}">
  <dimension ref="A1:Q136"/>
  <sheetViews>
    <sheetView showGridLines="0" zoomScale="88" workbookViewId="0">
      <selection activeCell="L27" sqref="L27"/>
    </sheetView>
  </sheetViews>
  <sheetFormatPr baseColWidth="10" defaultColWidth="11.5" defaultRowHeight="15" x14ac:dyDescent="0.2"/>
  <cols>
    <col min="1" max="1" width="2.1640625" customWidth="1"/>
    <col min="2" max="2" width="18.5" customWidth="1"/>
    <col min="3" max="3" width="17.1640625" customWidth="1"/>
    <col min="4" max="5" width="7.5" customWidth="1"/>
    <col min="6" max="6" width="7.1640625" customWidth="1"/>
    <col min="7" max="7" width="24.1640625" customWidth="1"/>
    <col min="9" max="10" width="7.1640625" customWidth="1"/>
    <col min="13" max="13" width="10.83203125" customWidth="1"/>
    <col min="14" max="14" width="4.83203125" customWidth="1"/>
    <col min="15" max="15" width="29.5" bestFit="1" customWidth="1"/>
    <col min="17" max="17" width="5.5" customWidth="1"/>
  </cols>
  <sheetData>
    <row r="1" spans="1:17" x14ac:dyDescent="0.2">
      <c r="A1" s="46"/>
      <c r="B1" s="532" t="s">
        <v>373</v>
      </c>
      <c r="C1" s="532"/>
      <c r="D1" s="46"/>
      <c r="E1" s="46"/>
      <c r="F1" s="46"/>
      <c r="G1" s="46"/>
      <c r="H1" s="46"/>
      <c r="I1" s="46"/>
    </row>
    <row r="2" spans="1:17" x14ac:dyDescent="0.2">
      <c r="A2" s="46"/>
      <c r="B2" s="532"/>
      <c r="C2" s="532"/>
      <c r="D2" s="46"/>
      <c r="E2" s="46"/>
      <c r="F2" s="46"/>
      <c r="G2" s="46"/>
      <c r="H2" s="46"/>
      <c r="I2" s="46"/>
    </row>
    <row r="3" spans="1:17" x14ac:dyDescent="0.2">
      <c r="A3" s="46"/>
      <c r="B3" s="83" t="s">
        <v>374</v>
      </c>
      <c r="C3" s="83" t="s">
        <v>375</v>
      </c>
      <c r="D3" s="46"/>
      <c r="E3" s="46"/>
      <c r="F3" s="91"/>
      <c r="G3" s="72"/>
      <c r="H3" s="72"/>
      <c r="I3" s="73"/>
    </row>
    <row r="4" spans="1:17" x14ac:dyDescent="0.2">
      <c r="A4" s="46"/>
      <c r="B4" s="92" t="s">
        <v>376</v>
      </c>
      <c r="C4" s="93">
        <v>79577.320000000007</v>
      </c>
      <c r="D4" s="94">
        <f>(C4/C15)-1</f>
        <v>2.7914143673342329E-2</v>
      </c>
      <c r="E4" s="94"/>
      <c r="F4" s="78"/>
      <c r="G4" s="95" t="s">
        <v>377</v>
      </c>
      <c r="H4" s="96">
        <f>AVERAGE(D:D)</f>
        <v>4.0018883730283922E-2</v>
      </c>
      <c r="I4" s="74"/>
    </row>
    <row r="5" spans="1:17" x14ac:dyDescent="0.2">
      <c r="A5" s="46"/>
      <c r="B5" s="92" t="s">
        <v>378</v>
      </c>
      <c r="C5" s="97">
        <v>79369.820000000007</v>
      </c>
      <c r="D5" s="50"/>
      <c r="E5" s="50"/>
      <c r="F5" s="98"/>
      <c r="G5" s="80"/>
      <c r="H5" s="80"/>
      <c r="I5" s="99"/>
    </row>
    <row r="6" spans="1:17" x14ac:dyDescent="0.2">
      <c r="A6" s="46"/>
      <c r="B6" s="92" t="s">
        <v>379</v>
      </c>
      <c r="C6" s="97">
        <v>79550.320000000007</v>
      </c>
      <c r="D6" s="50"/>
      <c r="E6" s="50"/>
      <c r="F6" s="46"/>
      <c r="G6" s="46"/>
      <c r="H6" s="46"/>
      <c r="I6" s="46"/>
      <c r="N6" s="91"/>
      <c r="O6" s="72"/>
      <c r="P6" s="72"/>
      <c r="Q6" s="73"/>
    </row>
    <row r="7" spans="1:17" x14ac:dyDescent="0.2">
      <c r="B7" s="92" t="s">
        <v>380</v>
      </c>
      <c r="C7" s="97">
        <v>83274.2</v>
      </c>
      <c r="D7" s="50"/>
      <c r="E7" s="50"/>
      <c r="F7" s="91"/>
      <c r="G7" s="72"/>
      <c r="H7" s="72"/>
      <c r="I7" s="73"/>
      <c r="N7" s="78"/>
      <c r="O7" s="95" t="s">
        <v>381</v>
      </c>
      <c r="P7" s="96">
        <v>0.104</v>
      </c>
      <c r="Q7" s="74"/>
    </row>
    <row r="8" spans="1:17" x14ac:dyDescent="0.2">
      <c r="B8" s="92" t="s">
        <v>382</v>
      </c>
      <c r="C8" s="97">
        <v>84868.25</v>
      </c>
      <c r="D8" s="50"/>
      <c r="E8" s="50"/>
      <c r="F8" s="78"/>
      <c r="G8" s="95" t="s">
        <v>383</v>
      </c>
      <c r="H8" s="96">
        <f>(C4/C135)^(1/10)-1</f>
        <v>4.5840713236817709E-2</v>
      </c>
      <c r="I8" s="74"/>
      <c r="N8" s="98"/>
      <c r="O8" s="80"/>
      <c r="P8" s="80"/>
      <c r="Q8" s="99"/>
    </row>
    <row r="9" spans="1:17" ht="11.25" customHeight="1" x14ac:dyDescent="0.2">
      <c r="B9" s="92" t="s">
        <v>384</v>
      </c>
      <c r="C9" s="97">
        <v>84345.7</v>
      </c>
      <c r="D9" s="50"/>
      <c r="E9" s="50"/>
      <c r="F9" s="98"/>
      <c r="G9" s="80"/>
      <c r="H9" s="80"/>
      <c r="I9" s="99"/>
      <c r="N9" s="46"/>
      <c r="O9" s="46"/>
      <c r="P9" s="46"/>
      <c r="Q9" s="46"/>
    </row>
    <row r="10" spans="1:17" x14ac:dyDescent="0.2">
      <c r="B10" s="92" t="s">
        <v>385</v>
      </c>
      <c r="C10" s="97">
        <v>88613.67</v>
      </c>
      <c r="D10" s="50"/>
      <c r="E10" s="50"/>
      <c r="F10" s="46"/>
      <c r="G10" s="46"/>
      <c r="H10" s="46"/>
      <c r="I10" s="46"/>
      <c r="N10" s="108" t="s">
        <v>386</v>
      </c>
      <c r="O10" s="109" t="s">
        <v>387</v>
      </c>
    </row>
    <row r="11" spans="1:17" x14ac:dyDescent="0.2">
      <c r="B11" s="92" t="s">
        <v>388</v>
      </c>
      <c r="C11" s="97">
        <v>86315.26</v>
      </c>
      <c r="D11" s="50"/>
      <c r="E11" s="50"/>
      <c r="F11" s="91"/>
      <c r="G11" s="72"/>
      <c r="H11" s="72"/>
      <c r="I11" s="73"/>
    </row>
    <row r="12" spans="1:17" x14ac:dyDescent="0.2">
      <c r="B12" s="92" t="s">
        <v>389</v>
      </c>
      <c r="C12" s="97">
        <v>84569.65</v>
      </c>
      <c r="D12" s="50"/>
      <c r="E12" s="50"/>
      <c r="F12" s="78"/>
      <c r="G12" s="95" t="s">
        <v>390</v>
      </c>
      <c r="H12" s="96">
        <v>5.62E-2</v>
      </c>
      <c r="I12" s="74"/>
      <c r="J12" s="108" t="s">
        <v>386</v>
      </c>
      <c r="K12" s="109" t="s">
        <v>391</v>
      </c>
      <c r="L12" s="108"/>
    </row>
    <row r="13" spans="1:17" x14ac:dyDescent="0.2">
      <c r="B13" s="92" t="s">
        <v>392</v>
      </c>
      <c r="C13" s="97">
        <v>82745.58</v>
      </c>
      <c r="D13" s="50"/>
      <c r="E13" s="50"/>
      <c r="F13" s="98"/>
      <c r="G13" s="80"/>
      <c r="H13" s="80"/>
      <c r="I13" s="99"/>
    </row>
    <row r="14" spans="1:17" x14ac:dyDescent="0.2">
      <c r="B14" s="92" t="s">
        <v>393</v>
      </c>
      <c r="C14" s="97">
        <v>81944.56</v>
      </c>
      <c r="D14" s="50"/>
      <c r="E14" s="50"/>
    </row>
    <row r="15" spans="1:17" x14ac:dyDescent="0.2">
      <c r="B15" s="92" t="s">
        <v>394</v>
      </c>
      <c r="C15" s="97">
        <v>77416.31</v>
      </c>
      <c r="D15" s="50"/>
      <c r="E15" s="50"/>
    </row>
    <row r="16" spans="1:17" x14ac:dyDescent="0.2">
      <c r="B16" s="92" t="s">
        <v>395</v>
      </c>
      <c r="C16" s="97">
        <v>78459.91</v>
      </c>
      <c r="D16" s="94">
        <f>(C16/C27)-1</f>
        <v>0.28021354756620465</v>
      </c>
      <c r="E16" s="94"/>
    </row>
    <row r="17" spans="2:5" x14ac:dyDescent="0.2">
      <c r="B17" s="92" t="s">
        <v>396</v>
      </c>
      <c r="C17" s="97">
        <v>74264.070000000007</v>
      </c>
      <c r="D17" s="50"/>
      <c r="E17" s="50"/>
    </row>
    <row r="18" spans="2:5" x14ac:dyDescent="0.2">
      <c r="B18" s="92" t="s">
        <v>397</v>
      </c>
      <c r="C18" s="97">
        <v>71582.259999999995</v>
      </c>
      <c r="D18" s="50"/>
      <c r="E18" s="50"/>
    </row>
    <row r="19" spans="2:5" x14ac:dyDescent="0.2">
      <c r="B19" s="92" t="s">
        <v>398</v>
      </c>
      <c r="C19" s="97">
        <v>65397.43</v>
      </c>
      <c r="D19" s="50"/>
      <c r="E19" s="50"/>
    </row>
    <row r="20" spans="2:5" x14ac:dyDescent="0.2">
      <c r="B20" s="92" t="s">
        <v>399</v>
      </c>
      <c r="C20" s="97">
        <v>68431.460000000006</v>
      </c>
      <c r="D20" s="50"/>
      <c r="E20" s="50"/>
    </row>
    <row r="21" spans="2:5" x14ac:dyDescent="0.2">
      <c r="B21" s="92" t="s">
        <v>400</v>
      </c>
      <c r="C21" s="97">
        <v>72268.53</v>
      </c>
      <c r="D21" s="50"/>
      <c r="E21" s="50"/>
    </row>
    <row r="22" spans="2:5" x14ac:dyDescent="0.2">
      <c r="B22" s="92" t="s">
        <v>401</v>
      </c>
      <c r="C22" s="97">
        <v>67283.22</v>
      </c>
      <c r="D22" s="50"/>
      <c r="E22" s="50"/>
    </row>
    <row r="23" spans="2:5" x14ac:dyDescent="0.2">
      <c r="B23" s="92" t="s">
        <v>402</v>
      </c>
      <c r="C23" s="97">
        <v>62285.97</v>
      </c>
      <c r="D23" s="50"/>
      <c r="E23" s="50"/>
    </row>
    <row r="24" spans="2:5" x14ac:dyDescent="0.2">
      <c r="B24" s="92" t="s">
        <v>403</v>
      </c>
      <c r="C24" s="97">
        <v>62948.5</v>
      </c>
      <c r="D24" s="50"/>
      <c r="E24" s="50"/>
    </row>
    <row r="25" spans="2:5" x14ac:dyDescent="0.2">
      <c r="B25" s="92" t="s">
        <v>404</v>
      </c>
      <c r="C25" s="97">
        <v>58608.76</v>
      </c>
      <c r="D25" s="50"/>
      <c r="E25" s="50"/>
    </row>
    <row r="26" spans="2:5" x14ac:dyDescent="0.2">
      <c r="B26" s="92" t="s">
        <v>405</v>
      </c>
      <c r="C26" s="97">
        <v>60181.4</v>
      </c>
      <c r="D26" s="50"/>
      <c r="E26" s="50"/>
    </row>
    <row r="27" spans="2:5" x14ac:dyDescent="0.2">
      <c r="B27" s="92" t="s">
        <v>406</v>
      </c>
      <c r="C27" s="97">
        <v>61286.58</v>
      </c>
      <c r="D27" s="50"/>
      <c r="E27" s="50"/>
    </row>
    <row r="28" spans="2:5" x14ac:dyDescent="0.2">
      <c r="B28" s="92" t="s">
        <v>407</v>
      </c>
      <c r="C28" s="97">
        <v>57462.68</v>
      </c>
      <c r="D28" s="94">
        <f t="shared" ref="D28" si="0">(C28/C39)-1</f>
        <v>-0.14767079199880273</v>
      </c>
      <c r="E28" s="94"/>
    </row>
    <row r="29" spans="2:5" x14ac:dyDescent="0.2">
      <c r="B29" s="92" t="s">
        <v>408</v>
      </c>
      <c r="C29" s="97">
        <v>56058.18</v>
      </c>
      <c r="D29" s="50"/>
      <c r="E29" s="50"/>
    </row>
    <row r="30" spans="2:5" x14ac:dyDescent="0.2">
      <c r="B30" s="92" t="s">
        <v>409</v>
      </c>
      <c r="C30" s="97">
        <v>50432.55</v>
      </c>
      <c r="D30" s="50"/>
      <c r="E30" s="50"/>
    </row>
    <row r="31" spans="2:5" x14ac:dyDescent="0.2">
      <c r="B31" s="92" t="s">
        <v>410</v>
      </c>
      <c r="C31" s="97">
        <v>45970.64</v>
      </c>
      <c r="D31" s="50"/>
      <c r="E31" s="50"/>
    </row>
    <row r="32" spans="2:5" x14ac:dyDescent="0.2">
      <c r="B32" s="92" t="s">
        <v>411</v>
      </c>
      <c r="C32" s="97">
        <v>50174.09</v>
      </c>
      <c r="D32" s="50"/>
      <c r="E32" s="50"/>
    </row>
    <row r="33" spans="2:5" x14ac:dyDescent="0.2">
      <c r="B33" s="92" t="s">
        <v>412</v>
      </c>
      <c r="C33" s="97">
        <v>55007.360000000001</v>
      </c>
      <c r="D33" s="50"/>
      <c r="E33" s="50"/>
    </row>
    <row r="34" spans="2:5" x14ac:dyDescent="0.2">
      <c r="B34" s="92" t="s">
        <v>413</v>
      </c>
      <c r="C34" s="97">
        <v>53573.42</v>
      </c>
      <c r="D34" s="50"/>
      <c r="E34" s="50"/>
    </row>
    <row r="35" spans="2:5" x14ac:dyDescent="0.2">
      <c r="B35" s="92" t="s">
        <v>414</v>
      </c>
      <c r="C35" s="97">
        <v>57432.29</v>
      </c>
      <c r="D35" s="50"/>
      <c r="E35" s="50"/>
    </row>
    <row r="36" spans="2:5" x14ac:dyDescent="0.2">
      <c r="B36" s="92" t="s">
        <v>415</v>
      </c>
      <c r="C36" s="97">
        <v>57754.98</v>
      </c>
      <c r="D36" s="50"/>
      <c r="E36" s="50"/>
    </row>
    <row r="37" spans="2:5" x14ac:dyDescent="0.2">
      <c r="B37" s="92" t="s">
        <v>416</v>
      </c>
      <c r="C37" s="97">
        <v>64900.36</v>
      </c>
      <c r="D37" s="50"/>
      <c r="E37" s="50"/>
    </row>
    <row r="38" spans="2:5" x14ac:dyDescent="0.2">
      <c r="B38" s="92" t="s">
        <v>417</v>
      </c>
      <c r="C38" s="97">
        <v>61141.35</v>
      </c>
      <c r="D38" s="50"/>
      <c r="E38" s="50"/>
    </row>
    <row r="39" spans="2:5" x14ac:dyDescent="0.2">
      <c r="B39" s="92" t="s">
        <v>418</v>
      </c>
      <c r="C39" s="97">
        <v>67418.41</v>
      </c>
      <c r="D39" s="50"/>
      <c r="E39" s="50"/>
    </row>
    <row r="40" spans="2:5" x14ac:dyDescent="0.2">
      <c r="B40" s="92" t="s">
        <v>419</v>
      </c>
      <c r="C40" s="97">
        <v>69296.259999999995</v>
      </c>
      <c r="D40" s="94">
        <f t="shared" ref="D40" si="1">(C40/C51)-1</f>
        <v>0.21617875317574908</v>
      </c>
      <c r="E40" s="94"/>
    </row>
    <row r="41" spans="2:5" x14ac:dyDescent="0.2">
      <c r="B41" s="92" t="s">
        <v>420</v>
      </c>
      <c r="C41" s="97">
        <v>67814.89</v>
      </c>
      <c r="D41" s="50"/>
      <c r="E41" s="50"/>
    </row>
    <row r="42" spans="2:5" x14ac:dyDescent="0.2">
      <c r="B42" s="92" t="s">
        <v>421</v>
      </c>
      <c r="C42" s="97">
        <v>73586.320000000007</v>
      </c>
      <c r="D42" s="50"/>
      <c r="E42" s="50"/>
    </row>
    <row r="43" spans="2:5" x14ac:dyDescent="0.2">
      <c r="B43" s="92" t="s">
        <v>422</v>
      </c>
      <c r="C43" s="97">
        <v>70340.86</v>
      </c>
      <c r="D43" s="50"/>
      <c r="E43" s="50"/>
    </row>
    <row r="44" spans="2:5" x14ac:dyDescent="0.2">
      <c r="B44" s="92" t="s">
        <v>423</v>
      </c>
      <c r="C44" s="97">
        <v>70930.149999999994</v>
      </c>
      <c r="D44" s="50"/>
      <c r="E44" s="50"/>
    </row>
    <row r="45" spans="2:5" x14ac:dyDescent="0.2">
      <c r="B45" s="92" t="s">
        <v>424</v>
      </c>
      <c r="C45" s="97">
        <v>67637.95</v>
      </c>
      <c r="D45" s="50"/>
      <c r="E45" s="50"/>
    </row>
    <row r="46" spans="2:5" x14ac:dyDescent="0.2">
      <c r="B46" s="92" t="s">
        <v>425</v>
      </c>
      <c r="C46" s="97">
        <v>66067.210000000006</v>
      </c>
      <c r="D46" s="50"/>
      <c r="E46" s="50"/>
    </row>
    <row r="47" spans="2:5" x14ac:dyDescent="0.2">
      <c r="B47" s="92" t="s">
        <v>426</v>
      </c>
      <c r="C47" s="97">
        <v>66284.710000000006</v>
      </c>
      <c r="D47" s="50"/>
      <c r="E47" s="50"/>
    </row>
    <row r="48" spans="2:5" x14ac:dyDescent="0.2">
      <c r="B48" s="92" t="s">
        <v>427</v>
      </c>
      <c r="C48" s="97">
        <v>60810.55</v>
      </c>
      <c r="D48" s="50"/>
      <c r="E48" s="50"/>
    </row>
    <row r="49" spans="2:5" x14ac:dyDescent="0.2">
      <c r="B49" s="92" t="s">
        <v>428</v>
      </c>
      <c r="C49" s="97">
        <v>58081.5</v>
      </c>
      <c r="D49" s="50"/>
      <c r="E49" s="50"/>
    </row>
    <row r="50" spans="2:5" x14ac:dyDescent="0.2">
      <c r="B50" s="92" t="s">
        <v>429</v>
      </c>
      <c r="C50" s="97">
        <v>56970.3</v>
      </c>
      <c r="D50" s="50"/>
      <c r="E50" s="50"/>
    </row>
    <row r="51" spans="2:5" x14ac:dyDescent="0.2">
      <c r="B51" s="92" t="s">
        <v>430</v>
      </c>
      <c r="C51" s="97">
        <v>56978.68</v>
      </c>
      <c r="D51" s="50"/>
      <c r="E51" s="50"/>
    </row>
    <row r="52" spans="2:5" x14ac:dyDescent="0.2">
      <c r="B52" s="92" t="s">
        <v>431</v>
      </c>
      <c r="C52" s="97">
        <v>57025.84</v>
      </c>
      <c r="D52" s="94">
        <f t="shared" ref="D52" si="2">(C52/C63)-1</f>
        <v>6.0790804440338242E-3</v>
      </c>
      <c r="E52" s="94"/>
    </row>
    <row r="53" spans="2:5" x14ac:dyDescent="0.2">
      <c r="B53" s="92" t="s">
        <v>432</v>
      </c>
      <c r="C53" s="97">
        <v>52639.45</v>
      </c>
      <c r="D53" s="50"/>
      <c r="E53" s="50"/>
    </row>
    <row r="54" spans="2:5" x14ac:dyDescent="0.2">
      <c r="B54" s="92" t="s">
        <v>433</v>
      </c>
      <c r="C54" s="97">
        <v>44097.98</v>
      </c>
      <c r="D54" s="50"/>
      <c r="E54" s="50"/>
    </row>
    <row r="55" spans="2:5" x14ac:dyDescent="0.2">
      <c r="B55" s="92" t="s">
        <v>434</v>
      </c>
      <c r="C55" s="97">
        <v>49411.53</v>
      </c>
      <c r="D55" s="50"/>
      <c r="E55" s="50"/>
    </row>
    <row r="56" spans="2:5" x14ac:dyDescent="0.2">
      <c r="B56" s="92" t="s">
        <v>435</v>
      </c>
      <c r="C56" s="97">
        <v>51629.45</v>
      </c>
      <c r="D56" s="50"/>
      <c r="E56" s="50"/>
    </row>
    <row r="57" spans="2:5" x14ac:dyDescent="0.2">
      <c r="B57" s="92" t="s">
        <v>436</v>
      </c>
      <c r="C57" s="97">
        <v>50468.160000000003</v>
      </c>
      <c r="D57" s="50"/>
      <c r="E57" s="50"/>
    </row>
    <row r="58" spans="2:5" x14ac:dyDescent="0.2">
      <c r="B58" s="92" t="s">
        <v>437</v>
      </c>
      <c r="C58" s="97">
        <v>49569.17</v>
      </c>
      <c r="D58" s="50"/>
      <c r="E58" s="50"/>
    </row>
    <row r="59" spans="2:5" x14ac:dyDescent="0.2">
      <c r="B59" s="92" t="s">
        <v>438</v>
      </c>
      <c r="C59" s="97">
        <v>48127.64</v>
      </c>
      <c r="D59" s="50"/>
      <c r="E59" s="50"/>
    </row>
    <row r="60" spans="2:5" x14ac:dyDescent="0.2">
      <c r="B60" s="92" t="s">
        <v>439</v>
      </c>
      <c r="C60" s="97">
        <v>46117</v>
      </c>
      <c r="D60" s="50"/>
      <c r="E60" s="50"/>
    </row>
    <row r="61" spans="2:5" x14ac:dyDescent="0.2">
      <c r="B61" s="92" t="s">
        <v>440</v>
      </c>
      <c r="C61" s="97">
        <v>41624.620000000003</v>
      </c>
      <c r="D61" s="50"/>
      <c r="E61" s="50"/>
    </row>
    <row r="62" spans="2:5" x14ac:dyDescent="0.2">
      <c r="B62" s="92" t="s">
        <v>441</v>
      </c>
      <c r="C62" s="97">
        <v>49276.54</v>
      </c>
      <c r="D62" s="50"/>
      <c r="E62" s="50"/>
    </row>
    <row r="63" spans="2:5" x14ac:dyDescent="0.2">
      <c r="B63" s="92" t="s">
        <v>442</v>
      </c>
      <c r="C63" s="97">
        <v>56681.27</v>
      </c>
      <c r="D63" s="50"/>
      <c r="E63" s="50"/>
    </row>
    <row r="64" spans="2:5" x14ac:dyDescent="0.2">
      <c r="B64" s="92" t="s">
        <v>443</v>
      </c>
      <c r="C64" s="97">
        <v>57832.88</v>
      </c>
      <c r="D64" s="94">
        <f t="shared" ref="D64" si="3">(C64/C75)-1</f>
        <v>-4.1985229781229649E-2</v>
      </c>
      <c r="E64" s="94"/>
    </row>
    <row r="65" spans="2:5" x14ac:dyDescent="0.2">
      <c r="B65" s="92" t="s">
        <v>444</v>
      </c>
      <c r="C65" s="97">
        <v>57502.14</v>
      </c>
      <c r="D65" s="50"/>
      <c r="E65" s="50"/>
    </row>
    <row r="66" spans="2:5" x14ac:dyDescent="0.2">
      <c r="B66" s="92" t="s">
        <v>445</v>
      </c>
      <c r="C66" s="97">
        <v>57783.02</v>
      </c>
      <c r="D66" s="50"/>
      <c r="E66" s="50"/>
    </row>
    <row r="67" spans="2:5" x14ac:dyDescent="0.2">
      <c r="B67" s="92" t="s">
        <v>446</v>
      </c>
      <c r="C67" s="97">
        <v>57320.3</v>
      </c>
      <c r="D67" s="50"/>
      <c r="E67" s="50"/>
    </row>
    <row r="68" spans="2:5" x14ac:dyDescent="0.2">
      <c r="B68" s="92" t="s">
        <v>447</v>
      </c>
      <c r="C68" s="97">
        <v>56739.53</v>
      </c>
      <c r="D68" s="50"/>
      <c r="E68" s="50"/>
    </row>
    <row r="69" spans="2:5" x14ac:dyDescent="0.2">
      <c r="B69" s="92" t="s">
        <v>448</v>
      </c>
      <c r="C69" s="97">
        <v>59670.6</v>
      </c>
      <c r="D69" s="50"/>
      <c r="E69" s="50"/>
    </row>
    <row r="70" spans="2:5" x14ac:dyDescent="0.2">
      <c r="B70" s="92" t="s">
        <v>449</v>
      </c>
      <c r="C70" s="97">
        <v>60187.43</v>
      </c>
      <c r="D70" s="50"/>
      <c r="E70" s="50"/>
    </row>
    <row r="71" spans="2:5" x14ac:dyDescent="0.2">
      <c r="B71" s="92" t="s">
        <v>450</v>
      </c>
      <c r="C71" s="97">
        <v>57909.95</v>
      </c>
      <c r="D71" s="50"/>
      <c r="E71" s="50"/>
    </row>
    <row r="72" spans="2:5" x14ac:dyDescent="0.2">
      <c r="B72" s="92" t="s">
        <v>451</v>
      </c>
      <c r="C72" s="97">
        <v>60145.5</v>
      </c>
      <c r="D72" s="50"/>
      <c r="E72" s="50"/>
    </row>
    <row r="73" spans="2:5" x14ac:dyDescent="0.2">
      <c r="B73" s="92" t="s">
        <v>452</v>
      </c>
      <c r="C73" s="97">
        <v>59668.03</v>
      </c>
      <c r="D73" s="50"/>
      <c r="E73" s="50"/>
    </row>
    <row r="74" spans="2:5" x14ac:dyDescent="0.2">
      <c r="B74" s="92" t="s">
        <v>453</v>
      </c>
      <c r="C74" s="97">
        <v>59903.7</v>
      </c>
      <c r="D74" s="50"/>
      <c r="E74" s="50"/>
    </row>
    <row r="75" spans="2:5" x14ac:dyDescent="0.2">
      <c r="B75" s="92" t="s">
        <v>454</v>
      </c>
      <c r="C75" s="97">
        <v>60367.42</v>
      </c>
      <c r="D75" s="50"/>
      <c r="E75" s="50"/>
    </row>
    <row r="76" spans="2:5" x14ac:dyDescent="0.2">
      <c r="B76" s="92" t="s">
        <v>455</v>
      </c>
      <c r="C76" s="97">
        <v>57690.5</v>
      </c>
      <c r="D76" s="94">
        <f t="shared" ref="D76" si="4">(C76/C87)-1</f>
        <v>-0.12653900933212836</v>
      </c>
      <c r="E76" s="94"/>
    </row>
    <row r="77" spans="2:5" x14ac:dyDescent="0.2">
      <c r="B77" s="92" t="s">
        <v>456</v>
      </c>
      <c r="C77" s="97">
        <v>58203.39</v>
      </c>
      <c r="D77" s="50"/>
      <c r="E77" s="50"/>
    </row>
    <row r="78" spans="2:5" x14ac:dyDescent="0.2">
      <c r="B78" s="92" t="s">
        <v>457</v>
      </c>
      <c r="C78" s="97">
        <v>55312.71</v>
      </c>
      <c r="D78" s="50"/>
      <c r="E78" s="50"/>
    </row>
    <row r="79" spans="2:5" x14ac:dyDescent="0.2">
      <c r="B79" s="92" t="s">
        <v>458</v>
      </c>
      <c r="C79" s="97">
        <v>58974.76</v>
      </c>
      <c r="D79" s="50"/>
      <c r="E79" s="50"/>
    </row>
    <row r="80" spans="2:5" x14ac:dyDescent="0.2">
      <c r="B80" s="92" t="s">
        <v>459</v>
      </c>
      <c r="C80" s="97">
        <v>60201.08</v>
      </c>
      <c r="D80" s="50"/>
      <c r="E80" s="50"/>
    </row>
    <row r="81" spans="2:5" x14ac:dyDescent="0.2">
      <c r="B81" s="92" t="s">
        <v>460</v>
      </c>
      <c r="C81" s="97">
        <v>59964.47</v>
      </c>
      <c r="D81" s="50"/>
      <c r="E81" s="50"/>
    </row>
    <row r="82" spans="2:5" x14ac:dyDescent="0.2">
      <c r="B82" s="92" t="s">
        <v>461</v>
      </c>
      <c r="C82" s="97">
        <v>55954.44</v>
      </c>
      <c r="D82" s="50"/>
      <c r="E82" s="50"/>
    </row>
    <row r="83" spans="2:5" x14ac:dyDescent="0.2">
      <c r="B83" s="92" t="s">
        <v>462</v>
      </c>
      <c r="C83" s="97">
        <v>57282.73</v>
      </c>
      <c r="D83" s="50"/>
      <c r="E83" s="50"/>
    </row>
    <row r="84" spans="2:5" x14ac:dyDescent="0.2">
      <c r="B84" s="92" t="s">
        <v>463</v>
      </c>
      <c r="C84" s="97">
        <v>59932.46</v>
      </c>
      <c r="D84" s="50"/>
      <c r="E84" s="50"/>
    </row>
    <row r="85" spans="2:5" x14ac:dyDescent="0.2">
      <c r="B85" s="92" t="s">
        <v>464</v>
      </c>
      <c r="C85" s="97">
        <v>58377.42</v>
      </c>
      <c r="D85" s="50"/>
      <c r="E85" s="50"/>
    </row>
    <row r="86" spans="2:5" x14ac:dyDescent="0.2">
      <c r="B86" s="92" t="s">
        <v>465</v>
      </c>
      <c r="C86" s="97">
        <v>61703.18</v>
      </c>
      <c r="D86" s="50"/>
      <c r="E86" s="50"/>
    </row>
    <row r="87" spans="2:5" x14ac:dyDescent="0.2">
      <c r="B87" s="92" t="s">
        <v>466</v>
      </c>
      <c r="C87" s="97">
        <v>66048.17</v>
      </c>
      <c r="D87" s="50"/>
      <c r="E87" s="50"/>
    </row>
    <row r="88" spans="2:5" x14ac:dyDescent="0.2">
      <c r="B88" s="92" t="s">
        <v>467</v>
      </c>
      <c r="C88" s="97">
        <v>63746.2</v>
      </c>
      <c r="D88" s="94">
        <f t="shared" ref="D88" si="5">(C88/C99)-1</f>
        <v>0.15414670251041418</v>
      </c>
      <c r="E88" s="94"/>
    </row>
    <row r="89" spans="2:5" x14ac:dyDescent="0.2">
      <c r="B89" s="92" t="s">
        <v>468</v>
      </c>
      <c r="C89" s="97">
        <v>62440.31</v>
      </c>
      <c r="D89" s="50"/>
      <c r="E89" s="50"/>
    </row>
    <row r="90" spans="2:5" x14ac:dyDescent="0.2">
      <c r="B90" s="92" t="s">
        <v>469</v>
      </c>
      <c r="C90" s="97">
        <v>64866.57</v>
      </c>
      <c r="D90" s="50"/>
      <c r="E90" s="50"/>
    </row>
    <row r="91" spans="2:5" x14ac:dyDescent="0.2">
      <c r="B91" s="92" t="s">
        <v>470</v>
      </c>
      <c r="C91" s="97">
        <v>64289.69</v>
      </c>
      <c r="D91" s="50"/>
      <c r="E91" s="50"/>
    </row>
    <row r="92" spans="2:5" x14ac:dyDescent="0.2">
      <c r="B92" s="92" t="s">
        <v>471</v>
      </c>
      <c r="C92" s="97">
        <v>64973.760000000002</v>
      </c>
      <c r="D92" s="50"/>
      <c r="E92" s="50"/>
    </row>
    <row r="93" spans="2:5" x14ac:dyDescent="0.2">
      <c r="B93" s="92" t="s">
        <v>472</v>
      </c>
      <c r="C93" s="97">
        <v>62595.76</v>
      </c>
      <c r="D93" s="50"/>
      <c r="E93" s="50"/>
    </row>
    <row r="94" spans="2:5" x14ac:dyDescent="0.2">
      <c r="B94" s="92" t="s">
        <v>473</v>
      </c>
      <c r="C94" s="97">
        <v>61018.36</v>
      </c>
      <c r="D94" s="50"/>
      <c r="E94" s="50"/>
    </row>
    <row r="95" spans="2:5" x14ac:dyDescent="0.2">
      <c r="B95" s="92" t="s">
        <v>474</v>
      </c>
      <c r="C95" s="97">
        <v>60092.07</v>
      </c>
      <c r="D95" s="50"/>
      <c r="E95" s="50"/>
    </row>
    <row r="96" spans="2:5" x14ac:dyDescent="0.2">
      <c r="B96" s="92" t="s">
        <v>475</v>
      </c>
      <c r="C96" s="97">
        <v>61644.56</v>
      </c>
      <c r="D96" s="50"/>
      <c r="E96" s="50"/>
    </row>
    <row r="97" spans="2:5" x14ac:dyDescent="0.2">
      <c r="B97" s="92" t="s">
        <v>476</v>
      </c>
      <c r="C97" s="97">
        <v>57911.31</v>
      </c>
      <c r="D97" s="50"/>
      <c r="E97" s="50"/>
    </row>
    <row r="98" spans="2:5" x14ac:dyDescent="0.2">
      <c r="B98" s="92" t="s">
        <v>477</v>
      </c>
      <c r="C98" s="97">
        <v>58300.37</v>
      </c>
      <c r="D98" s="50"/>
      <c r="E98" s="50"/>
    </row>
    <row r="99" spans="2:5" x14ac:dyDescent="0.2">
      <c r="B99" s="92" t="s">
        <v>478</v>
      </c>
      <c r="C99" s="97">
        <v>55232.32</v>
      </c>
      <c r="D99" s="50"/>
      <c r="E99" s="50"/>
    </row>
    <row r="100" spans="2:5" x14ac:dyDescent="0.2">
      <c r="B100" s="92" t="s">
        <v>479</v>
      </c>
      <c r="C100" s="97">
        <v>51754.03</v>
      </c>
      <c r="D100" s="94">
        <f t="shared" ref="D100" si="6">(C100/C111)-1</f>
        <v>0.16852498473133348</v>
      </c>
      <c r="E100" s="94"/>
    </row>
    <row r="101" spans="2:5" x14ac:dyDescent="0.2">
      <c r="B101" s="92" t="s">
        <v>480</v>
      </c>
      <c r="C101" s="97">
        <v>48618.64</v>
      </c>
      <c r="D101" s="50"/>
      <c r="E101" s="50"/>
    </row>
    <row r="102" spans="2:5" x14ac:dyDescent="0.2">
      <c r="B102" s="92" t="s">
        <v>481</v>
      </c>
      <c r="C102" s="97">
        <v>49158.8</v>
      </c>
      <c r="D102" s="50"/>
      <c r="E102" s="50"/>
    </row>
    <row r="103" spans="2:5" x14ac:dyDescent="0.2">
      <c r="B103" s="92" t="s">
        <v>482</v>
      </c>
      <c r="C103" s="97">
        <v>47084.94</v>
      </c>
      <c r="D103" s="50"/>
      <c r="E103" s="50"/>
    </row>
    <row r="104" spans="2:5" x14ac:dyDescent="0.2">
      <c r="B104" s="92" t="s">
        <v>483</v>
      </c>
      <c r="C104" s="97">
        <v>47935.1</v>
      </c>
      <c r="D104" s="50"/>
      <c r="E104" s="50"/>
    </row>
    <row r="105" spans="2:5" x14ac:dyDescent="0.2">
      <c r="B105" s="92" t="s">
        <v>484</v>
      </c>
      <c r="C105" s="97">
        <v>46171.72</v>
      </c>
      <c r="D105" s="50"/>
      <c r="E105" s="50"/>
    </row>
    <row r="106" spans="2:5" x14ac:dyDescent="0.2">
      <c r="B106" s="92" t="s">
        <v>485</v>
      </c>
      <c r="C106" s="97">
        <v>44748.53</v>
      </c>
      <c r="D106" s="50"/>
      <c r="E106" s="50"/>
    </row>
    <row r="107" spans="2:5" x14ac:dyDescent="0.2">
      <c r="B107" s="92" t="s">
        <v>486</v>
      </c>
      <c r="C107" s="97">
        <v>45844.15</v>
      </c>
      <c r="D107" s="50"/>
      <c r="E107" s="50"/>
    </row>
    <row r="108" spans="2:5" x14ac:dyDescent="0.2">
      <c r="B108" s="92" t="s">
        <v>487</v>
      </c>
      <c r="C108" s="97">
        <v>47641.99</v>
      </c>
      <c r="D108" s="50"/>
      <c r="E108" s="50"/>
    </row>
    <row r="109" spans="2:5" x14ac:dyDescent="0.2">
      <c r="B109" s="92" t="s">
        <v>488</v>
      </c>
      <c r="C109" s="97">
        <v>49017.35</v>
      </c>
      <c r="D109" s="50"/>
      <c r="E109" s="50"/>
    </row>
    <row r="110" spans="2:5" x14ac:dyDescent="0.2">
      <c r="B110" s="92" t="s">
        <v>489</v>
      </c>
      <c r="C110" s="97">
        <v>45430.29</v>
      </c>
      <c r="D110" s="50"/>
      <c r="E110" s="50"/>
    </row>
    <row r="111" spans="2:5" x14ac:dyDescent="0.2">
      <c r="B111" s="92" t="s">
        <v>490</v>
      </c>
      <c r="C111" s="97">
        <v>44290.05</v>
      </c>
      <c r="D111" s="50"/>
      <c r="E111" s="50"/>
    </row>
    <row r="112" spans="2:5" x14ac:dyDescent="0.2">
      <c r="B112" s="92" t="s">
        <v>491</v>
      </c>
      <c r="C112" s="97">
        <v>46467.38</v>
      </c>
      <c r="D112" s="94">
        <f t="shared" ref="D112" si="7">(C112/C123)-1</f>
        <v>-0.10815262025408057</v>
      </c>
      <c r="E112" s="94"/>
    </row>
    <row r="113" spans="2:5" x14ac:dyDescent="0.2">
      <c r="B113" s="92" t="s">
        <v>492</v>
      </c>
      <c r="C113" s="97">
        <v>47915.91</v>
      </c>
      <c r="D113" s="50"/>
      <c r="E113" s="50"/>
    </row>
    <row r="114" spans="2:5" x14ac:dyDescent="0.2">
      <c r="B114" s="92" t="s">
        <v>493</v>
      </c>
      <c r="C114" s="97">
        <v>50271.65</v>
      </c>
      <c r="D114" s="50"/>
      <c r="E114" s="50"/>
    </row>
    <row r="115" spans="2:5" x14ac:dyDescent="0.2">
      <c r="B115" s="92" t="s">
        <v>494</v>
      </c>
      <c r="C115" s="97">
        <v>49824.59</v>
      </c>
      <c r="D115" s="50"/>
      <c r="E115" s="50"/>
    </row>
    <row r="116" spans="2:5" x14ac:dyDescent="0.2">
      <c r="B116" s="92" t="s">
        <v>495</v>
      </c>
      <c r="C116" s="97">
        <v>51280.38</v>
      </c>
      <c r="D116" s="50"/>
      <c r="E116" s="50"/>
    </row>
    <row r="117" spans="2:5" x14ac:dyDescent="0.2">
      <c r="B117" s="92" t="s">
        <v>496</v>
      </c>
      <c r="C117" s="97">
        <v>52750.94</v>
      </c>
      <c r="D117" s="50"/>
      <c r="E117" s="50"/>
    </row>
    <row r="118" spans="2:5" x14ac:dyDescent="0.2">
      <c r="B118" s="92" t="s">
        <v>497</v>
      </c>
      <c r="C118" s="97">
        <v>53328.98</v>
      </c>
      <c r="D118" s="50"/>
      <c r="E118" s="50"/>
    </row>
    <row r="119" spans="2:5" x14ac:dyDescent="0.2">
      <c r="B119" s="92" t="s">
        <v>498</v>
      </c>
      <c r="C119" s="97">
        <v>55531.79</v>
      </c>
      <c r="D119" s="50"/>
      <c r="E119" s="50"/>
    </row>
    <row r="120" spans="2:5" x14ac:dyDescent="0.2">
      <c r="B120" s="92" t="s">
        <v>499</v>
      </c>
      <c r="C120" s="97">
        <v>56477.69</v>
      </c>
      <c r="D120" s="50"/>
      <c r="E120" s="50"/>
    </row>
    <row r="121" spans="2:5" x14ac:dyDescent="0.2">
      <c r="B121" s="92" t="s">
        <v>500</v>
      </c>
      <c r="C121" s="97">
        <v>54091.32</v>
      </c>
      <c r="D121" s="50"/>
      <c r="E121" s="50"/>
    </row>
    <row r="122" spans="2:5" x14ac:dyDescent="0.2">
      <c r="B122" s="92" t="s">
        <v>501</v>
      </c>
      <c r="C122" s="97">
        <v>53304.21</v>
      </c>
      <c r="D122" s="50"/>
      <c r="E122" s="50"/>
    </row>
    <row r="123" spans="2:5" x14ac:dyDescent="0.2">
      <c r="B123" s="92" t="s">
        <v>502</v>
      </c>
      <c r="C123" s="97">
        <v>52102.39</v>
      </c>
      <c r="D123" s="50"/>
      <c r="E123" s="50"/>
    </row>
    <row r="124" spans="2:5" x14ac:dyDescent="0.2">
      <c r="B124" s="92" t="s">
        <v>503</v>
      </c>
      <c r="C124" s="97">
        <v>51416.08</v>
      </c>
      <c r="D124" s="94">
        <f t="shared" ref="D124" si="8">(C124/C135)-1</f>
        <v>1.1498160298286875E-2</v>
      </c>
      <c r="E124" s="94"/>
    </row>
    <row r="125" spans="2:5" x14ac:dyDescent="0.2">
      <c r="B125" s="92" t="s">
        <v>504</v>
      </c>
      <c r="C125" s="97">
        <v>53247.07</v>
      </c>
      <c r="D125" s="50"/>
      <c r="E125" s="50"/>
    </row>
    <row r="126" spans="2:5" x14ac:dyDescent="0.2">
      <c r="B126" s="92" t="s">
        <v>505</v>
      </c>
      <c r="C126" s="97">
        <v>53949.58</v>
      </c>
      <c r="D126" s="50"/>
      <c r="E126" s="50"/>
    </row>
    <row r="127" spans="2:5" x14ac:dyDescent="0.2">
      <c r="B127" s="92" t="s">
        <v>506</v>
      </c>
      <c r="C127" s="97">
        <v>54878.58</v>
      </c>
      <c r="D127" s="50"/>
      <c r="E127" s="50"/>
    </row>
    <row r="128" spans="2:5" x14ac:dyDescent="0.2">
      <c r="B128" s="92" t="s">
        <v>507</v>
      </c>
      <c r="C128" s="97">
        <v>51868.77</v>
      </c>
      <c r="D128" s="50"/>
      <c r="E128" s="50"/>
    </row>
    <row r="129" spans="2:5" x14ac:dyDescent="0.2">
      <c r="B129" s="92" t="s">
        <v>508</v>
      </c>
      <c r="C129" s="97">
        <v>50037.120000000003</v>
      </c>
      <c r="D129" s="50"/>
      <c r="E129" s="50"/>
    </row>
    <row r="130" spans="2:5" x14ac:dyDescent="0.2">
      <c r="B130" s="92" t="s">
        <v>509</v>
      </c>
      <c r="C130" s="97">
        <v>51934.94</v>
      </c>
      <c r="D130" s="50"/>
      <c r="E130" s="50"/>
    </row>
    <row r="131" spans="2:5" x14ac:dyDescent="0.2">
      <c r="B131" s="92" t="s">
        <v>510</v>
      </c>
      <c r="C131" s="97">
        <v>52066.97</v>
      </c>
      <c r="D131" s="50"/>
      <c r="E131" s="50"/>
    </row>
    <row r="132" spans="2:5" x14ac:dyDescent="0.2">
      <c r="B132" s="92" t="s">
        <v>511</v>
      </c>
      <c r="C132" s="97">
        <v>51892.77</v>
      </c>
      <c r="D132" s="50"/>
      <c r="E132" s="50"/>
    </row>
    <row r="133" spans="2:5" x14ac:dyDescent="0.2">
      <c r="B133" s="92" t="s">
        <v>512</v>
      </c>
      <c r="C133" s="97">
        <v>52373.47</v>
      </c>
      <c r="D133" s="50"/>
      <c r="E133" s="50"/>
    </row>
    <row r="134" spans="2:5" x14ac:dyDescent="0.2">
      <c r="B134" s="92" t="s">
        <v>513</v>
      </c>
      <c r="C134" s="97">
        <v>53811.3</v>
      </c>
      <c r="D134" s="50"/>
      <c r="E134" s="50"/>
    </row>
    <row r="135" spans="2:5" x14ac:dyDescent="0.2">
      <c r="B135" s="92" t="s">
        <v>514</v>
      </c>
      <c r="C135" s="97">
        <v>50831.61</v>
      </c>
      <c r="D135" s="50"/>
      <c r="E135" s="50"/>
    </row>
    <row r="136" spans="2:5" x14ac:dyDescent="0.2">
      <c r="B136" s="94"/>
    </row>
  </sheetData>
  <mergeCells count="1">
    <mergeCell ref="B1:C2"/>
  </mergeCells>
  <hyperlinks>
    <hyperlink ref="K12" r:id="rId1" xr:uid="{C20F3DF8-B13D-6C42-8547-17DCD0AE07D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E3E0EE17BDF147B01BDF726DB3DC0C" ma:contentTypeVersion="4" ma:contentTypeDescription="Opprett et nytt dokument." ma:contentTypeScope="" ma:versionID="d4cee8183ffacecf09845239c1aa4e00">
  <xsd:schema xmlns:xsd="http://www.w3.org/2001/XMLSchema" xmlns:xs="http://www.w3.org/2001/XMLSchema" xmlns:p="http://schemas.microsoft.com/office/2006/metadata/properties" xmlns:ns2="ef2a28f5-ee63-4722-beae-cb5e044a3ea8" targetNamespace="http://schemas.microsoft.com/office/2006/metadata/properties" ma:root="true" ma:fieldsID="00241a09856e525895126399a19da4b0" ns2:_="">
    <xsd:import namespace="ef2a28f5-ee63-4722-beae-cb5e044a3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a28f5-ee63-4722-beae-cb5e044a3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8A6D-D8E8-418E-98AF-36D910934C1A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ef2a28f5-ee63-4722-beae-cb5e044a3ea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0E8505-8953-4D31-AC37-00904C72D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2a28f5-ee63-4722-beae-cb5e044a3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EF3C6-6E50-4B32-9E5E-79F24B2DB1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LBO</vt:lpstr>
      <vt:lpstr>Financials Data</vt:lpstr>
      <vt:lpstr> APV</vt:lpstr>
      <vt:lpstr> WACC &amp; Unlevered CoC</vt:lpstr>
      <vt:lpstr>Baseline Beta</vt:lpstr>
      <vt:lpstr>Expected Return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David Stolt</cp:lastModifiedBy>
  <cp:revision/>
  <dcterms:created xsi:type="dcterms:W3CDTF">2024-07-17T20:30:35Z</dcterms:created>
  <dcterms:modified xsi:type="dcterms:W3CDTF">2025-04-30T18:02:43Z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0x01010097E3E0EE17BDF147B01BDF726DB3DC0C</vt:lpwstr>
  </property>
</Properties>
</file>